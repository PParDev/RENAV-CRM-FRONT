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VO" sheetId="1" r:id="rId5"/>
    <sheet state="visible" name="INDICE " sheetId="2" r:id="rId6"/>
    <sheet state="visible" name="Proyectos nacionales" sheetId="3" r:id="rId7"/>
    <sheet state="visible" name="Proyectos locales" sheetId="4" r:id="rId8"/>
    <sheet state="visible" name="CATALOGO" sheetId="5" r:id="rId9"/>
    <sheet state="visible" name="METODOS DE PAGO" sheetId="6" r:id="rId10"/>
  </sheets>
  <definedNames/>
  <calcPr/>
</workbook>
</file>

<file path=xl/sharedStrings.xml><?xml version="1.0" encoding="utf-8"?>
<sst xmlns="http://schemas.openxmlformats.org/spreadsheetml/2006/main" count="6209" uniqueCount="1512">
  <si>
    <t>INSTRUCTIVO DE USO PARA EL INVENTARIO</t>
  </si>
  <si>
    <t>Este archivo está dividido en tres secciones, el índice, los proyectos nacionales y los</t>
  </si>
  <si>
    <t>proyectos locales, a continuación se dará una breve explicación de cómo funciona cada uno de los apartados:</t>
  </si>
  <si>
    <t>ÍNDICE:</t>
  </si>
  <si>
    <t>En el apartado de índice se encuentra una pequeña tabla que está vinculada con el</t>
  </si>
  <si>
    <t>formato de inventario de proyectos nacionales generales que sirve para filtrar de</t>
  </si>
  <si>
    <t>manera rápida el proyecto o propiedad que quieras buscar, para hacer esto:</t>
  </si>
  <si>
    <t>1. Debes dar click en la casilla que se encuentra arriba de propiedades y</t>
  </si>
  <si>
    <t>automáticamente se abrirá una lista con cada proyecto.</t>
  </si>
  <si>
    <t>2. Después solo selecciona la propiedad que quieres visualizar y</t>
  </si>
  <si>
    <t>automáticamente aparecerá toda la información de esta.</t>
  </si>
  <si>
    <t>PROYECTOS NACIONALES:</t>
  </si>
  <si>
    <t>En este apartado se encuentra el inventario de los proyectos nacionales de forma</t>
  </si>
  <si>
    <t>general que está dividido en nombre del proyecto, propiedades que aún se</t>
  </si>
  <si>
    <t>encuentran disponibles, con un rango de metros cuadrados y de precios, también</t>
  </si>
  <si>
    <t>cuenta con las propiedades que ya se vendieron y las propiedades que se</t>
  </si>
  <si>
    <t>encuentran apartadas, a su vez se encuentran tablas de cada propiedad de forma</t>
  </si>
  <si>
    <t>individual y estas están vinculadas con la columna de disponibles en la tabla general</t>
  </si>
  <si>
    <t>para que se modifique automáticamente cuando se realice la venta de alguna</t>
  </si>
  <si>
    <t>propiedad y se haga el registro de esa venta, también en cada una de estas tablas</t>
  </si>
  <si>
    <t>se saca un total del costo de todas las propiedades para sacar el porcentaje de</t>
  </si>
  <si>
    <t>comisión de ganancia que se registra en la tabla general, todo esto vinculado para</t>
  </si>
  <si>
    <t>que, en caso de realizarse alguna modificación todo se modifique automáticamente,</t>
  </si>
  <si>
    <t>por último, también se encuentra la última fecha de actualización de cada proyecto</t>
  </si>
  <si>
    <t>para estar al día con la información de ventas.</t>
  </si>
  <si>
    <t>PROYECTOS LOCALES:</t>
  </si>
  <si>
    <t>En el apartado de proyectos locales solo se encuentra una tabla con el nombre de</t>
  </si>
  <si>
    <t>cada proyecto, su medida en metros cuadrados, el costo que tiene y el porcentaje</t>
  </si>
  <si>
    <t>de comisión de venta de cada uno, así como las fechas de contratos de cada una,</t>
  </si>
  <si>
    <t>como son pocos proyectos y se puede concentrar en una sola tabla no tiene mayor</t>
  </si>
  <si>
    <t>complejidad.</t>
  </si>
  <si>
    <t>CATÁLOGO:</t>
  </si>
  <si>
    <t>En este apartado se encuentran las tablas individuales de cada proyecto, agregando</t>
  </si>
  <si>
    <t>el tipo de inmueble, el tipo de propiedad y tipo de proyecto al que corresponde cada</t>
  </si>
  <si>
    <t>inmueble.</t>
  </si>
  <si>
    <t>MÉTODO DE PAGO:</t>
  </si>
  <si>
    <t>En este apartado se agrego las modalidades de pago que se ofrecen a los clientes y</t>
  </si>
  <si>
    <t>estos son al contado, financiamiento interno y crédito hipotecario, los ordenamos por</t>
  </si>
  <si>
    <t>propiedad donde al contado se entiende por pagar el valor de la propiedad en ese</t>
  </si>
  <si>
    <t>momento ya sea en efectivo o con transferencia, los financiamientos internos son</t>
  </si>
  <si>
    <t>esquemas diferentes dependiendo de la propiedad donde te ofrecen diferentes</t>
  </si>
  <si>
    <t>forma de pago, por último el crédito hipotecario nos referimos a la forma en que</t>
  </si>
  <si>
    <t>obtienes el dinero por medio de bancos o financieras.</t>
  </si>
  <si>
    <t xml:space="preserve">FILTRAR </t>
  </si>
  <si>
    <t>Paravian</t>
  </si>
  <si>
    <t>NO.</t>
  </si>
  <si>
    <t>PROPIEDADES</t>
  </si>
  <si>
    <t>TOTAL (SUMA TOTAL DISP + TOTAL VE)</t>
  </si>
  <si>
    <t xml:space="preserve">TOTAL DISPONIBLE </t>
  </si>
  <si>
    <t>RANGOS DE PRECIOS</t>
  </si>
  <si>
    <t>RANGO DE SUPERFICIE</t>
  </si>
  <si>
    <t xml:space="preserve">TOTAL VENDIDOS </t>
  </si>
  <si>
    <t>TOTAL APARTADOS</t>
  </si>
  <si>
    <t xml:space="preserve">COMISION </t>
  </si>
  <si>
    <t>% COMISION</t>
  </si>
  <si>
    <t>COMISION VENDEDOR</t>
  </si>
  <si>
    <t>% COMISION VENDEDOR</t>
  </si>
  <si>
    <t>ULTIMA ACTUALIZACIÓN</t>
  </si>
  <si>
    <t>PLAYA DEL CARMEN</t>
  </si>
  <si>
    <t>VALENIA (DISPONIBLE)</t>
  </si>
  <si>
    <t>KAYBE (DISPONIBLE)</t>
  </si>
  <si>
    <t>ARBOLE GARDEN (DISPONIBLE)</t>
  </si>
  <si>
    <t xml:space="preserve">Valenia </t>
  </si>
  <si>
    <t>$2,322,633 - $2,937,000</t>
  </si>
  <si>
    <t>260.97 m2 - 330.00 m2</t>
  </si>
  <si>
    <t xml:space="preserve">Descripcion </t>
  </si>
  <si>
    <t>M2</t>
  </si>
  <si>
    <t xml:space="preserve">Rango de precios </t>
  </si>
  <si>
    <t>Descripción</t>
  </si>
  <si>
    <t>Rango de precios</t>
  </si>
  <si>
    <t>Palmara</t>
  </si>
  <si>
    <t>$7,254,015.18 - $7,433,872.38</t>
  </si>
  <si>
    <t>271.58 m2 - 296.10 m2</t>
  </si>
  <si>
    <t>Calle Granada #281</t>
  </si>
  <si>
    <t>260.97</t>
  </si>
  <si>
    <t>Unifamiliar seccion D lote D-14</t>
  </si>
  <si>
    <t>362.51</t>
  </si>
  <si>
    <t>Departamento A #503</t>
  </si>
  <si>
    <t>$3,438,232 - $7,186,800</t>
  </si>
  <si>
    <t>37.35 m2 - 86.80 m2</t>
  </si>
  <si>
    <t xml:space="preserve">APARTADO </t>
  </si>
  <si>
    <t>Calle Carpe #55</t>
  </si>
  <si>
    <t>Unifamilar seccion D lote D-32 y D-66</t>
  </si>
  <si>
    <t>239.98</t>
  </si>
  <si>
    <t xml:space="preserve">Departamento B #104 </t>
  </si>
  <si>
    <t>Tierra madre</t>
  </si>
  <si>
    <t>$1,323,450 - $3,650,516</t>
  </si>
  <si>
    <t>180 m2 - 496.5 m2</t>
  </si>
  <si>
    <t>Unifamilar seccion D lote D-36</t>
  </si>
  <si>
    <t>763.76</t>
  </si>
  <si>
    <t>Departamento B #105</t>
  </si>
  <si>
    <t>TULUM</t>
  </si>
  <si>
    <t>Unifamiliar seccion D lote D-39</t>
  </si>
  <si>
    <t>377.16</t>
  </si>
  <si>
    <t>Departamento B #108</t>
  </si>
  <si>
    <t>Nhoa</t>
  </si>
  <si>
    <t>$4,718,880 - $4,934,120</t>
  </si>
  <si>
    <t>64.77 m2 - 67.36 m2</t>
  </si>
  <si>
    <t>Unifamiliar seccion D lote D-50</t>
  </si>
  <si>
    <t>Departamento B #207</t>
  </si>
  <si>
    <t>Peregrina</t>
  </si>
  <si>
    <t>$3,398,000 - $4,850,000</t>
  </si>
  <si>
    <t>43.82 m2 - 79.34 m2</t>
  </si>
  <si>
    <t>PALMARA (DISPONIBLE)</t>
  </si>
  <si>
    <t>Unifamiliar seccion D lote D-62 y D-63</t>
  </si>
  <si>
    <t xml:space="preserve">Departamento B #308 </t>
  </si>
  <si>
    <t>Kaybé</t>
  </si>
  <si>
    <t>$1,991,520 - $20,668,088.22</t>
  </si>
  <si>
    <t>239.94 m2 - 2132.896 m2</t>
  </si>
  <si>
    <t xml:space="preserve">Unifamiliar seccion D lote D-65 </t>
  </si>
  <si>
    <t>239.95</t>
  </si>
  <si>
    <t>Departamento B #402</t>
  </si>
  <si>
    <t>Junglar</t>
  </si>
  <si>
    <t>$8,799,999.99 - 9,499,999.99</t>
  </si>
  <si>
    <t>195.44 m2 - 274.65 m2</t>
  </si>
  <si>
    <t>CASA BASE + TERRAZA + COCHERA</t>
  </si>
  <si>
    <t>274.98</t>
  </si>
  <si>
    <t>Unifamiliar seccion D lote D-66</t>
  </si>
  <si>
    <t xml:space="preserve">Departamento B #503 </t>
  </si>
  <si>
    <t>Omara</t>
  </si>
  <si>
    <t>$5,482,500 - $7,800,000</t>
  </si>
  <si>
    <t>84.81 m2 - 151.04 m2</t>
  </si>
  <si>
    <t>269.88</t>
  </si>
  <si>
    <t>Unifamiliar seccion D lote D-67</t>
  </si>
  <si>
    <t>239.94</t>
  </si>
  <si>
    <t>Departamento C#104</t>
  </si>
  <si>
    <t>Constelada</t>
  </si>
  <si>
    <t>$3,304,614.83 - $ 10,939,758.75</t>
  </si>
  <si>
    <t>29.69 m2 - 142.36 m2</t>
  </si>
  <si>
    <t>4TA REC</t>
  </si>
  <si>
    <t>278.64</t>
  </si>
  <si>
    <t>Unifamiliar seccion D lote D-69</t>
  </si>
  <si>
    <t>528.54</t>
  </si>
  <si>
    <t xml:space="preserve">Departamento C #201 </t>
  </si>
  <si>
    <t>Carmela</t>
  </si>
  <si>
    <t>$6,225,000.00</t>
  </si>
  <si>
    <t xml:space="preserve">104.33 m2 </t>
  </si>
  <si>
    <t>Unifamiliar seccion B lote B-08</t>
  </si>
  <si>
    <t>343.43</t>
  </si>
  <si>
    <t>Departamento C#203</t>
  </si>
  <si>
    <t>Trebola</t>
  </si>
  <si>
    <t>$424,410.15 - $728,866.60</t>
  </si>
  <si>
    <t>122.94 m2 - 200 m2</t>
  </si>
  <si>
    <t>PARAVIAN (DISPONIBLE)</t>
  </si>
  <si>
    <t>Unifamiliar seccion B lote B-11 (En una esquina)</t>
  </si>
  <si>
    <t>443.25</t>
  </si>
  <si>
    <t xml:space="preserve">Departamento C #304 </t>
  </si>
  <si>
    <t>VALLADOLID</t>
  </si>
  <si>
    <t>Unifamiliar seccion B lote B-17 y B-18</t>
  </si>
  <si>
    <t>370.18</t>
  </si>
  <si>
    <t>Departamento C#502</t>
  </si>
  <si>
    <t>Paramo residencial</t>
  </si>
  <si>
    <t>$939,158.45 - $2,563,323.88</t>
  </si>
  <si>
    <t>190.72 m2 - 584.98 m2</t>
  </si>
  <si>
    <t>JARDIN: ESTUDIO A #102</t>
  </si>
  <si>
    <t>42.20</t>
  </si>
  <si>
    <t>Unifamiliar seccion B lote B-25</t>
  </si>
  <si>
    <t>431.93</t>
  </si>
  <si>
    <t xml:space="preserve">Departamento C #506 </t>
  </si>
  <si>
    <t>Aldea valladolid</t>
  </si>
  <si>
    <t>NIVEL 2: ESTUDIO A #202</t>
  </si>
  <si>
    <t>37.35</t>
  </si>
  <si>
    <t>Unifamiliar seccion B lote B-28, B-29, B-53 y B-55</t>
  </si>
  <si>
    <t>370.21</t>
  </si>
  <si>
    <t>AGENCIAS/LIZANTOS DESARROLLOS</t>
  </si>
  <si>
    <t>NIVEL 2: 2 RECÁMARAS #204</t>
  </si>
  <si>
    <t>86.80</t>
  </si>
  <si>
    <t>Unifamiliar seccion B lote B-30 y B-47</t>
  </si>
  <si>
    <t>370.20</t>
  </si>
  <si>
    <t>Akoya sky living</t>
  </si>
  <si>
    <t>$7,024,632.88 - $9,748,970.76</t>
  </si>
  <si>
    <t>106.37 m2 - 140.96 m2</t>
  </si>
  <si>
    <t>NIVEL 2: ESTUDIO A #301</t>
  </si>
  <si>
    <t>38.02</t>
  </si>
  <si>
    <t xml:space="preserve">Macrolote A-12 </t>
  </si>
  <si>
    <t>1,034.327</t>
  </si>
  <si>
    <t>MERIDIANO 101 (DISPONIBLE)</t>
  </si>
  <si>
    <t>Altomare</t>
  </si>
  <si>
    <t>$6,639,798.36 - $8,897,450.96</t>
  </si>
  <si>
    <t>94.35 m2 - 123.23 m2</t>
  </si>
  <si>
    <t>NIVEL 4: 1 RECÁMARA #405</t>
  </si>
  <si>
    <t>53.51</t>
  </si>
  <si>
    <t>Macrolote A-28</t>
  </si>
  <si>
    <t>2,132.896</t>
  </si>
  <si>
    <t>Amhara marina condos</t>
  </si>
  <si>
    <t xml:space="preserve">$5,960,327.08 - 6,295,427.38 </t>
  </si>
  <si>
    <t xml:space="preserve">102.45 m2 - 103.47 m2 </t>
  </si>
  <si>
    <t>NIVEL 4: ESTUDIO B #408</t>
  </si>
  <si>
    <t>48.38</t>
  </si>
  <si>
    <t>Macrolote A-31</t>
  </si>
  <si>
    <t>1,784.809</t>
  </si>
  <si>
    <t>Meridiano 101 A 1301</t>
  </si>
  <si>
    <t>Asturia residencial privado</t>
  </si>
  <si>
    <t>$ 2,476,437.60 - $ 2,671,788</t>
  </si>
  <si>
    <t>86.71 m2 - 93.55 m2</t>
  </si>
  <si>
    <t>NIVEL 5: ESTUDIO A #501</t>
  </si>
  <si>
    <t>Macrolote A-33</t>
  </si>
  <si>
    <t>1,210.381</t>
  </si>
  <si>
    <t>Meridiano 101 A 303</t>
  </si>
  <si>
    <t>Azora ocean front residences</t>
  </si>
  <si>
    <t>$5,408,463.31 - $11,319,411.77</t>
  </si>
  <si>
    <t>96.96 m2 - 139.85 m2</t>
  </si>
  <si>
    <t xml:space="preserve">NIVEL 5: ESTUDIO A #502 </t>
  </si>
  <si>
    <t>Macrolote A-34</t>
  </si>
  <si>
    <t>1,152.683</t>
  </si>
  <si>
    <t>Meridiano 101 A 401</t>
  </si>
  <si>
    <t>Monte sereno</t>
  </si>
  <si>
    <t>$ 1,300,000 - $ 1,499,032.60</t>
  </si>
  <si>
    <t>10,000.00 m2 - 11,531.02 m2</t>
  </si>
  <si>
    <t>NIVEL 5: 1 RECÁMARA #507</t>
  </si>
  <si>
    <t>52.84</t>
  </si>
  <si>
    <t>Macrolote A-41</t>
  </si>
  <si>
    <t>1,088.291</t>
  </si>
  <si>
    <t>Meridiano 101 B 1002</t>
  </si>
  <si>
    <t>Zafira</t>
  </si>
  <si>
    <t>$ 3,848,104.23 - $ 4,813,009.66</t>
  </si>
  <si>
    <t xml:space="preserve"> 70.4 m2 - 83.6 m2 </t>
  </si>
  <si>
    <t>VIVEL 6: ESTUDIO A #601</t>
  </si>
  <si>
    <t>Macrolote A-46</t>
  </si>
  <si>
    <t>Meridiano 101 B 1101</t>
  </si>
  <si>
    <t>VEQ QUOTING</t>
  </si>
  <si>
    <t>NIVEL 6: ESTUDIO A #602</t>
  </si>
  <si>
    <t>Macroelote Premium Lote C-04</t>
  </si>
  <si>
    <t>1429.51</t>
  </si>
  <si>
    <t>Meridiano 101 B 1103</t>
  </si>
  <si>
    <t>LEÓN</t>
  </si>
  <si>
    <t>NIVEL 6: ESTUDIO A #603</t>
  </si>
  <si>
    <t>38.12</t>
  </si>
  <si>
    <t>Macrolote Premium Lote C-05</t>
  </si>
  <si>
    <t>1788.12</t>
  </si>
  <si>
    <t>Meridiano 101 B 1201</t>
  </si>
  <si>
    <t>Arbolé garden</t>
  </si>
  <si>
    <t>$2,148,561 - $2,764,009</t>
  </si>
  <si>
    <t xml:space="preserve">63 m2 - 64 m2 </t>
  </si>
  <si>
    <t>NIVEL 6: 2 RECÁMARAS #604</t>
  </si>
  <si>
    <t>Macrolote Premium Lote C-06</t>
  </si>
  <si>
    <t>1549.11</t>
  </si>
  <si>
    <t>Meridiano 101 B 1202</t>
  </si>
  <si>
    <t>Meridiano 101</t>
  </si>
  <si>
    <t>$3,336,000 - $6,827,962</t>
  </si>
  <si>
    <t>63 m2 - 280 m2</t>
  </si>
  <si>
    <t>NIVEL 6: 1 RECÁMARA #607</t>
  </si>
  <si>
    <t>Macrolote Premium Lote C-07</t>
  </si>
  <si>
    <t>1762.89</t>
  </si>
  <si>
    <t xml:space="preserve">Meridiano 101 B 1301 </t>
  </si>
  <si>
    <t>Punta Mayor</t>
  </si>
  <si>
    <t>$3,117,417 - $8,257,256</t>
  </si>
  <si>
    <t>43 m2 - 144 m2</t>
  </si>
  <si>
    <t>NIVEL 6: ESTUDIO B #608</t>
  </si>
  <si>
    <t>Meridiano 101 B 1302</t>
  </si>
  <si>
    <t>VEQ martinica</t>
  </si>
  <si>
    <t>$2,789,036 - $3,559,404</t>
  </si>
  <si>
    <t>59 m2 - 145 m2</t>
  </si>
  <si>
    <t>NIVEL 7: ESTUDIO A #701</t>
  </si>
  <si>
    <t xml:space="preserve">Meridiano 101 B 1303 </t>
  </si>
  <si>
    <t>GUADALAJARA</t>
  </si>
  <si>
    <t>NIVEL 7: ESTUDIO A #702</t>
  </si>
  <si>
    <t>TREBOLA (DISPONIBLE)</t>
  </si>
  <si>
    <t>Meridiano 101 B 1401</t>
  </si>
  <si>
    <t>VillaDhara</t>
  </si>
  <si>
    <t>$3,025,000</t>
  </si>
  <si>
    <t>55 m2</t>
  </si>
  <si>
    <t>NIVEL 7: ESTUDIO B #708</t>
  </si>
  <si>
    <t>Meridiano 101 B 1403</t>
  </si>
  <si>
    <t>Coordenada country</t>
  </si>
  <si>
    <t>$2,795,934 - $5,442,206</t>
  </si>
  <si>
    <t xml:space="preserve">38 m2 - 79 m2 </t>
  </si>
  <si>
    <t>LOTE A</t>
  </si>
  <si>
    <t>Meridiano 101 B 1501</t>
  </si>
  <si>
    <t>Livet ottawa</t>
  </si>
  <si>
    <t>TIERRA MADRE (DISPONIBLE)</t>
  </si>
  <si>
    <t>Meridiano 101 B 1701</t>
  </si>
  <si>
    <t>SOHO Morelos</t>
  </si>
  <si>
    <t>$5,333,759</t>
  </si>
  <si>
    <t>120 m2</t>
  </si>
  <si>
    <t xml:space="preserve">LOTE A </t>
  </si>
  <si>
    <t xml:space="preserve">Meridiano 101 B 1702 </t>
  </si>
  <si>
    <t>SOHO 5220</t>
  </si>
  <si>
    <t>$7,480,000</t>
  </si>
  <si>
    <t>136 m2 - 150 m2</t>
  </si>
  <si>
    <t xml:space="preserve">TIPO A </t>
  </si>
  <si>
    <t>Meridiano 101 B 1703</t>
  </si>
  <si>
    <t>SOHO park elite</t>
  </si>
  <si>
    <t>Meridiano 101 B 1704</t>
  </si>
  <si>
    <t>SOHO park aparments</t>
  </si>
  <si>
    <t>484.95</t>
  </si>
  <si>
    <t>AA ESQUINA</t>
  </si>
  <si>
    <t>Meridiano 101 B 1802</t>
  </si>
  <si>
    <t>Coordenada Lafayette</t>
  </si>
  <si>
    <t>$3,028,749</t>
  </si>
  <si>
    <t>43 m2</t>
  </si>
  <si>
    <t xml:space="preserve">Tipo A </t>
  </si>
  <si>
    <t>363.29</t>
  </si>
  <si>
    <t>Meridiano 101 B 1803</t>
  </si>
  <si>
    <t xml:space="preserve">VEQ asunción </t>
  </si>
  <si>
    <t>$11,000,831 - $6,749,32</t>
  </si>
  <si>
    <t>75 m2 - 112 m2</t>
  </si>
  <si>
    <t>Meridiano 101 B 1901</t>
  </si>
  <si>
    <t>VEQ Brasilia</t>
  </si>
  <si>
    <t>$3,423,452 - $21,485,662</t>
  </si>
  <si>
    <t xml:space="preserve">39 m2 - 327 m2 </t>
  </si>
  <si>
    <t xml:space="preserve">TIPO A+CON ANDADOR </t>
  </si>
  <si>
    <t>122.95</t>
  </si>
  <si>
    <t>Meridiano 101 B 1902</t>
  </si>
  <si>
    <t>VEQ Morelos</t>
  </si>
  <si>
    <t>$3,195,074 - $5,739,576</t>
  </si>
  <si>
    <t xml:space="preserve">46 m2 - 182 m2 </t>
  </si>
  <si>
    <t>TIPO A ESQUINA</t>
  </si>
  <si>
    <t>275.12</t>
  </si>
  <si>
    <t>TIPO A</t>
  </si>
  <si>
    <t>122.94</t>
  </si>
  <si>
    <t xml:space="preserve">Meridiano 101 B 202 </t>
  </si>
  <si>
    <t>Matilde</t>
  </si>
  <si>
    <t>$3,420,230 - $6,133,159</t>
  </si>
  <si>
    <t>37 m2 - 75 m2</t>
  </si>
  <si>
    <t>470.52</t>
  </si>
  <si>
    <t>Meridiano 101 B 203</t>
  </si>
  <si>
    <t>VEQ Bruselas</t>
  </si>
  <si>
    <t>318.41</t>
  </si>
  <si>
    <t>Meridiano 101 B 302</t>
  </si>
  <si>
    <t xml:space="preserve">VEQ Severo Díaz </t>
  </si>
  <si>
    <t>$3,033,556 - $8,739,080</t>
  </si>
  <si>
    <t>38 m2 - 164 m2</t>
  </si>
  <si>
    <t>496.5</t>
  </si>
  <si>
    <t>Meridiano 101 B 303</t>
  </si>
  <si>
    <t>VEQ villa Morelos</t>
  </si>
  <si>
    <t>$31,200 - $3,984,899</t>
  </si>
  <si>
    <t>1 m2 - 64 m2</t>
  </si>
  <si>
    <t>183.6</t>
  </si>
  <si>
    <t>PARAMO RESIDENCIAL (DISPONIBLE)</t>
  </si>
  <si>
    <t xml:space="preserve">Meridiano 101 B 401 </t>
  </si>
  <si>
    <t>ZAPOPAN</t>
  </si>
  <si>
    <t>TIPO AA</t>
  </si>
  <si>
    <t>Meridiano 101 B 701</t>
  </si>
  <si>
    <t>Lírica</t>
  </si>
  <si>
    <t xml:space="preserve">$3,964,192 - $10,898,645 </t>
  </si>
  <si>
    <t xml:space="preserve">46 m2 - 175 m2 </t>
  </si>
  <si>
    <t>TOPO AA</t>
  </si>
  <si>
    <t>LOTE 115 AVENIDA</t>
  </si>
  <si>
    <t>584.98</t>
  </si>
  <si>
    <t>Meridiano 101 B 702</t>
  </si>
  <si>
    <t>Coordenada central</t>
  </si>
  <si>
    <t>$2,261,845 - $3,618,482</t>
  </si>
  <si>
    <t>50 m2 - 67 m2</t>
  </si>
  <si>
    <t>LOTE 116 AVENIDA</t>
  </si>
  <si>
    <t>497.53</t>
  </si>
  <si>
    <t>Meridiano 101 B 901</t>
  </si>
  <si>
    <t>CANCÚN</t>
  </si>
  <si>
    <t>LOTE 117 AVENIDA</t>
  </si>
  <si>
    <t>394.22</t>
  </si>
  <si>
    <t>Meridiano 101 B 902</t>
  </si>
  <si>
    <t>Okün living</t>
  </si>
  <si>
    <t>$1,059,000 - $52,839,000</t>
  </si>
  <si>
    <t>35 m2 - 1174 m2</t>
  </si>
  <si>
    <t xml:space="preserve">LOTE 220 MULTIFUNCIONAL </t>
  </si>
  <si>
    <t>406.83</t>
  </si>
  <si>
    <t>Meridiano 101 L08</t>
  </si>
  <si>
    <t>NUEVO VALLARTA</t>
  </si>
  <si>
    <t xml:space="preserve">LOTE 235 MULTIFUNCIONAL </t>
  </si>
  <si>
    <t>Meridiano 101 B 1502</t>
  </si>
  <si>
    <t>Alana Wellness living</t>
  </si>
  <si>
    <t>$4,172,849 - $7,830,819</t>
  </si>
  <si>
    <t xml:space="preserve">57 m2 - 142 m2 </t>
  </si>
  <si>
    <t>264.12</t>
  </si>
  <si>
    <t xml:space="preserve">LOTE 240 MULTIFUNCIONAL </t>
  </si>
  <si>
    <t>362.5</t>
  </si>
  <si>
    <t>163 ESQUINA AVENIDA</t>
  </si>
  <si>
    <t>247.93</t>
  </si>
  <si>
    <t>PUNTA MAYOR (DISPONIBLE)</t>
  </si>
  <si>
    <t>Bohemian la veleta</t>
  </si>
  <si>
    <t>$4,373,067 - $7,169,590</t>
  </si>
  <si>
    <t>69 m2 - 142 m2</t>
  </si>
  <si>
    <t xml:space="preserve">AVENIDA 164, 165 </t>
  </si>
  <si>
    <t>MONTERREY</t>
  </si>
  <si>
    <t>NHOA (DISPONIBLE)</t>
  </si>
  <si>
    <t>AVENIDA 166</t>
  </si>
  <si>
    <t>Punta Mayor A 2407,  A 2707</t>
  </si>
  <si>
    <t>Coordenada cumbres</t>
  </si>
  <si>
    <t>$4,388,889 - $7,296,957</t>
  </si>
  <si>
    <t>77 m2 - 155 m2</t>
  </si>
  <si>
    <t xml:space="preserve">JUEGOS INFANTILES </t>
  </si>
  <si>
    <t>Punta Mayor B 1001</t>
  </si>
  <si>
    <t>TIJUANA</t>
  </si>
  <si>
    <t>65.76</t>
  </si>
  <si>
    <t>JUEGOS INFANTILES 176</t>
  </si>
  <si>
    <t>334.04</t>
  </si>
  <si>
    <t>Punta Mayor B 1102</t>
  </si>
  <si>
    <t>Black Eleven</t>
  </si>
  <si>
    <t>$59,600 - $11,159,865.27</t>
  </si>
  <si>
    <t xml:space="preserve">2 m2 - 199 m2 </t>
  </si>
  <si>
    <t>TIPO B</t>
  </si>
  <si>
    <t>65.25</t>
  </si>
  <si>
    <t>JUEGOS INFANTILES 178</t>
  </si>
  <si>
    <t>200.43</t>
  </si>
  <si>
    <t>Punta Mayor B 1204</t>
  </si>
  <si>
    <t>Citadel Residences</t>
  </si>
  <si>
    <t>$2,745,633 - $5,545,262</t>
  </si>
  <si>
    <t>34 m2 - 79 m2</t>
  </si>
  <si>
    <t>67.36</t>
  </si>
  <si>
    <t xml:space="preserve"> AVENIDA LOTE 155</t>
  </si>
  <si>
    <t>330.81</t>
  </si>
  <si>
    <t>Punta Mayor B 1301</t>
  </si>
  <si>
    <t>LOS CABOS</t>
  </si>
  <si>
    <t>64.77</t>
  </si>
  <si>
    <t>AVENIDA 156</t>
  </si>
  <si>
    <t>317.98</t>
  </si>
  <si>
    <t>Punta Mayor B 1402</t>
  </si>
  <si>
    <t>Aisha cabo living</t>
  </si>
  <si>
    <t>$11,120,700 - $15,858,275</t>
  </si>
  <si>
    <t xml:space="preserve">145 m2 - 240 m2 </t>
  </si>
  <si>
    <t xml:space="preserve">AVENIDA 157 </t>
  </si>
  <si>
    <t>309.82</t>
  </si>
  <si>
    <t xml:space="preserve">Punta Mayor B 1403 </t>
  </si>
  <si>
    <t>Alana San José</t>
  </si>
  <si>
    <t xml:space="preserve">$4,388,585 - $10,211,817 </t>
  </si>
  <si>
    <t>69 m2 - 174 m2</t>
  </si>
  <si>
    <t>PEREGRINA (DISPONIBLE)</t>
  </si>
  <si>
    <t xml:space="preserve">AVENIDA 158 </t>
  </si>
  <si>
    <t>304.99</t>
  </si>
  <si>
    <t>Punta Mayor B 1404</t>
  </si>
  <si>
    <t>LA PAZ</t>
  </si>
  <si>
    <t>AVENIDA 159</t>
  </si>
  <si>
    <t>302.11</t>
  </si>
  <si>
    <t xml:space="preserve">Punta Mayor B 1406 </t>
  </si>
  <si>
    <t>Loma alta residencial</t>
  </si>
  <si>
    <t>$6,000,000 - $7,670,080</t>
  </si>
  <si>
    <t>600 m2 - 958 m2</t>
  </si>
  <si>
    <t>DEPTO 207</t>
  </si>
  <si>
    <t>43.82</t>
  </si>
  <si>
    <t>AVENIDA 160</t>
  </si>
  <si>
    <t>300.79</t>
  </si>
  <si>
    <t>Punta Mayor B 1503</t>
  </si>
  <si>
    <t>ALAMAR</t>
  </si>
  <si>
    <t>DEPTO 211</t>
  </si>
  <si>
    <t>44.16</t>
  </si>
  <si>
    <t>AVENIDA 161</t>
  </si>
  <si>
    <t>300.29</t>
  </si>
  <si>
    <t>Punta Mayor B 1506</t>
  </si>
  <si>
    <t>La selva</t>
  </si>
  <si>
    <t>$406,217 - $926,381</t>
  </si>
  <si>
    <t>95.59 m2 - 206.21 m2</t>
  </si>
  <si>
    <t>DEPTO 305</t>
  </si>
  <si>
    <t>79.34</t>
  </si>
  <si>
    <t>AVENIDA 162 ESQUINA</t>
  </si>
  <si>
    <t>298.07</t>
  </si>
  <si>
    <t>Punta Mayor B 1702</t>
  </si>
  <si>
    <t>La selva 2</t>
  </si>
  <si>
    <t>$384,667 -  $1,170,588</t>
  </si>
  <si>
    <t>96.40 m2 - 265.35 m2</t>
  </si>
  <si>
    <t>DEPTO 308, 311</t>
  </si>
  <si>
    <t>JUEGOS INFANTILES</t>
  </si>
  <si>
    <t>200.00</t>
  </si>
  <si>
    <t>Punta Mayor B 1703</t>
  </si>
  <si>
    <t xml:space="preserve">ARIUM TOWER </t>
  </si>
  <si>
    <t xml:space="preserve"> $  2,251,060 -  $4,745,160.00</t>
  </si>
  <si>
    <t xml:space="preserve">50 m2 - 91.20 m2 </t>
  </si>
  <si>
    <t>DEPTO 309, 315</t>
  </si>
  <si>
    <t>44.15</t>
  </si>
  <si>
    <t>JUEGOS INFANTILES 197</t>
  </si>
  <si>
    <t>196.90</t>
  </si>
  <si>
    <t>Punta Mayor B 1704</t>
  </si>
  <si>
    <t>DEPTO 310, 316</t>
  </si>
  <si>
    <t>JUEGOS INFANTILES 198 y 200</t>
  </si>
  <si>
    <t>Punta Mayor B 1706</t>
  </si>
  <si>
    <t>JUEGOS INFANTILES 199</t>
  </si>
  <si>
    <t>373.14</t>
  </si>
  <si>
    <t>Punta Mayor B 1802</t>
  </si>
  <si>
    <t>CARMELA (DISPONIBLE)</t>
  </si>
  <si>
    <t xml:space="preserve"> JUEGOS INFANTILES 202</t>
  </si>
  <si>
    <t>195.89</t>
  </si>
  <si>
    <t>Punta Mayor B 1804</t>
  </si>
  <si>
    <t>JUEGOS INFANTILES 203</t>
  </si>
  <si>
    <t>280.00</t>
  </si>
  <si>
    <t>Punta Mayor B 1805</t>
  </si>
  <si>
    <t>NIVEL N1</t>
  </si>
  <si>
    <t>104.33</t>
  </si>
  <si>
    <t>JUEGOS INFANTILES 204</t>
  </si>
  <si>
    <t>491.16</t>
  </si>
  <si>
    <t>Punta Mayor B 1904</t>
  </si>
  <si>
    <t>JUEGOS INFANTILES 205</t>
  </si>
  <si>
    <t>250.00</t>
  </si>
  <si>
    <t>Punta Mayor B 1905</t>
  </si>
  <si>
    <t>BOHEMIAN LA VELETA (DISPONIBLE)</t>
  </si>
  <si>
    <t>JUEGOS INFANTILES 206</t>
  </si>
  <si>
    <t>195.10</t>
  </si>
  <si>
    <t>Punta Mayor B 2106</t>
  </si>
  <si>
    <t>JUEGOS INFANTILES 207</t>
  </si>
  <si>
    <t>195.87</t>
  </si>
  <si>
    <t>Punta Mayor B 2303</t>
  </si>
  <si>
    <t>Bohemian La Veleta 203 (BL203)</t>
  </si>
  <si>
    <t>JUEGOS INFANTILES 208</t>
  </si>
  <si>
    <t>190.72</t>
  </si>
  <si>
    <t>Punta Mayor B 2306</t>
  </si>
  <si>
    <t>Bohemian La Veleta 204 (BL204)</t>
  </si>
  <si>
    <t>JUEGOS INFANTILES 209</t>
  </si>
  <si>
    <t>190.85</t>
  </si>
  <si>
    <t>Punta Mayor B 2501</t>
  </si>
  <si>
    <t>Bohemian La Veleta 303</t>
  </si>
  <si>
    <t>JUEGOS INFANTILES 210</t>
  </si>
  <si>
    <t>190.15</t>
  </si>
  <si>
    <t>Punta Mayor C 011</t>
  </si>
  <si>
    <t>Bohemian La Veleta BL106 (BHC14)</t>
  </si>
  <si>
    <t>JUEGOS INFANTILES 211</t>
  </si>
  <si>
    <t>190.17</t>
  </si>
  <si>
    <t>Punta Mayor C O2</t>
  </si>
  <si>
    <t>JUEGOS INFANTILES 212</t>
  </si>
  <si>
    <t>190.80</t>
  </si>
  <si>
    <t>Punta Mayor C O5</t>
  </si>
  <si>
    <t>COORDENADA CUMBRES (DISPONIBLE)</t>
  </si>
  <si>
    <t>JUEGOS INFANTILES 213</t>
  </si>
  <si>
    <t>200.23</t>
  </si>
  <si>
    <t>Punta Mayor C O6</t>
  </si>
  <si>
    <t>JUEGOS INFANTILES 214</t>
  </si>
  <si>
    <t>199.75</t>
  </si>
  <si>
    <t>Punta Mayor C O9</t>
  </si>
  <si>
    <t>Coordenada Cumbres A 501, 503</t>
  </si>
  <si>
    <t>JUEGOS INFANTILES 216 ESQUINA</t>
  </si>
  <si>
    <t>199.52</t>
  </si>
  <si>
    <t>Coordenada Cumbres B PH02</t>
  </si>
  <si>
    <t>APARTADO</t>
  </si>
  <si>
    <t>Coordenada Cumbres C 403</t>
  </si>
  <si>
    <t>VEQ MARTINICA (DISPONIBLE)</t>
  </si>
  <si>
    <t>VENDIDO</t>
  </si>
  <si>
    <t>Coordenada Cumbres D 301</t>
  </si>
  <si>
    <t>AKOYA SKY LIVING (DISPONIBLE)</t>
  </si>
  <si>
    <t>Coordenada Cumbres L06</t>
  </si>
  <si>
    <t>VEQ Martinica 103</t>
  </si>
  <si>
    <t xml:space="preserve">NIVEL 24 CONDOMINIO #2405 </t>
  </si>
  <si>
    <t>140.96</t>
  </si>
  <si>
    <t>VEQ Martinica 104</t>
  </si>
  <si>
    <t>JUNGLAR (DISPONIBLE)</t>
  </si>
  <si>
    <t>NIVEL 26 CONDOMINIO #2601</t>
  </si>
  <si>
    <t>112.29</t>
  </si>
  <si>
    <t xml:space="preserve">VEQ Martinica 105, 106 </t>
  </si>
  <si>
    <t>NIVEL 26 CONDOMINIO #2603</t>
  </si>
  <si>
    <t>123.18</t>
  </si>
  <si>
    <t>VEQ Martinica 108</t>
  </si>
  <si>
    <t>MODELO BAKARI</t>
  </si>
  <si>
    <t>200.13</t>
  </si>
  <si>
    <t>NIVEL 26 CONDOMINIO #2604</t>
  </si>
  <si>
    <t>132.49</t>
  </si>
  <si>
    <t>VEQ Martinica 109</t>
  </si>
  <si>
    <t>MODELO ALTEA</t>
  </si>
  <si>
    <t>274.65</t>
  </si>
  <si>
    <t>NIVEL 27 CONDOMINIO #2704</t>
  </si>
  <si>
    <t>VEQ Martinica 110</t>
  </si>
  <si>
    <t>195.44</t>
  </si>
  <si>
    <t>NIVEL 27 CONDOMINIO #2705</t>
  </si>
  <si>
    <t>106.37</t>
  </si>
  <si>
    <t>VEQ Martinica 111</t>
  </si>
  <si>
    <t>195.9</t>
  </si>
  <si>
    <t>NIVEL 28 CONDOMINIO #2803</t>
  </si>
  <si>
    <t>VEQ Martinica 201</t>
  </si>
  <si>
    <t xml:space="preserve">NIVEL 28 CONDOMINIO #2805 </t>
  </si>
  <si>
    <t>VEQ Martinica 204, 205</t>
  </si>
  <si>
    <t>OMARA (DISPONIBLE)</t>
  </si>
  <si>
    <t>VEQ Martinica 206</t>
  </si>
  <si>
    <t>VEQ Martinica 207</t>
  </si>
  <si>
    <t>TIPO E</t>
  </si>
  <si>
    <t>84.81</t>
  </si>
  <si>
    <t>AMHARA MARINA CONDOS (DISPONIBLE)</t>
  </si>
  <si>
    <t>VEQ Martinica 208</t>
  </si>
  <si>
    <t>151.04</t>
  </si>
  <si>
    <t>VEQ Martinica 210</t>
  </si>
  <si>
    <t>DPTO 301</t>
  </si>
  <si>
    <t>103.24</t>
  </si>
  <si>
    <t>VEQ Martinica 301</t>
  </si>
  <si>
    <t>CONSTELADA (DISPONIBLES)</t>
  </si>
  <si>
    <t>DPTO 304</t>
  </si>
  <si>
    <t>103.47</t>
  </si>
  <si>
    <t xml:space="preserve">VEQ Martinica 304, 305 </t>
  </si>
  <si>
    <t>DPTO 403</t>
  </si>
  <si>
    <t>102.45</t>
  </si>
  <si>
    <t>VEQ Martinica 307</t>
  </si>
  <si>
    <t>ESTUDIO</t>
  </si>
  <si>
    <t>39.42</t>
  </si>
  <si>
    <t>DPTO 503</t>
  </si>
  <si>
    <t>VEQ Martinica 308</t>
  </si>
  <si>
    <t>1 RECAMARA</t>
  </si>
  <si>
    <t>70.99</t>
  </si>
  <si>
    <t>VEQ Martinica 403</t>
  </si>
  <si>
    <t>29.69</t>
  </si>
  <si>
    <t xml:space="preserve">VEQ Martinica 404, 405 </t>
  </si>
  <si>
    <t>30.56</t>
  </si>
  <si>
    <t>ASTRUIA RESIDENCIA PRIVADO (DISPONIBLE)</t>
  </si>
  <si>
    <t>VEQ Martinica 406</t>
  </si>
  <si>
    <t>93.14</t>
  </si>
  <si>
    <t>VEQ Martinica 407</t>
  </si>
  <si>
    <t>29.75</t>
  </si>
  <si>
    <t xml:space="preserve">MODELO LABRADAS </t>
  </si>
  <si>
    <t>107.25</t>
  </si>
  <si>
    <t>VEQ Martinica 408</t>
  </si>
  <si>
    <t>69.97</t>
  </si>
  <si>
    <t>VEQ Martinica 409</t>
  </si>
  <si>
    <t>2 RECAMARAS PLUS</t>
  </si>
  <si>
    <t>142.36</t>
  </si>
  <si>
    <t xml:space="preserve">MODELO MAZATLAN </t>
  </si>
  <si>
    <t>VEQ Martinica 410</t>
  </si>
  <si>
    <t>33.92</t>
  </si>
  <si>
    <t>VEQ Martinica 503, 504</t>
  </si>
  <si>
    <t>34.67</t>
  </si>
  <si>
    <t>VEQ Martinica 505</t>
  </si>
  <si>
    <t>78.49</t>
  </si>
  <si>
    <t>VEQ Martinica 506</t>
  </si>
  <si>
    <t>78.61</t>
  </si>
  <si>
    <t>AZORA OCEAN FRONT RESIDENCES (DISPONIBLE)</t>
  </si>
  <si>
    <t>VEQ Martinica 507</t>
  </si>
  <si>
    <t>34.03</t>
  </si>
  <si>
    <t>VEQ Martinica 508</t>
  </si>
  <si>
    <t>78.69</t>
  </si>
  <si>
    <t xml:space="preserve">CONDO 404 </t>
  </si>
  <si>
    <t>133.80</t>
  </si>
  <si>
    <t>VEQ Martinica 509</t>
  </si>
  <si>
    <t>29.87</t>
  </si>
  <si>
    <t>CONDO 406</t>
  </si>
  <si>
    <t>138.04</t>
  </si>
  <si>
    <t>30.52</t>
  </si>
  <si>
    <t>CONDO 504</t>
  </si>
  <si>
    <t>137.39</t>
  </si>
  <si>
    <t>PH 3 RECAMARAS</t>
  </si>
  <si>
    <t>169.82</t>
  </si>
  <si>
    <t>CONDO 506</t>
  </si>
  <si>
    <t>139.85</t>
  </si>
  <si>
    <t>VILLA DHARA (DISPONIBLE)</t>
  </si>
  <si>
    <t>31.24</t>
  </si>
  <si>
    <t>CONDO 604</t>
  </si>
  <si>
    <t>CONDO 606</t>
  </si>
  <si>
    <t>Villa Dhara 130</t>
  </si>
  <si>
    <t>MATILDE (DISPONIBLE)</t>
  </si>
  <si>
    <t>CONDO 704</t>
  </si>
  <si>
    <t xml:space="preserve">CONDO 706 </t>
  </si>
  <si>
    <t xml:space="preserve">COORDENADA COUNTRY </t>
  </si>
  <si>
    <t>Matilde 001B</t>
  </si>
  <si>
    <t>CONDO 712</t>
  </si>
  <si>
    <t>98.72</t>
  </si>
  <si>
    <t>Matilde 002C</t>
  </si>
  <si>
    <t>CONDO 811</t>
  </si>
  <si>
    <t>96.96</t>
  </si>
  <si>
    <t>Coordenada Country Poniente 102</t>
  </si>
  <si>
    <t>Matilde 003D</t>
  </si>
  <si>
    <t>CONDO 812</t>
  </si>
  <si>
    <t>Coordenada Country Poniente 103</t>
  </si>
  <si>
    <t>Matilde 102B</t>
  </si>
  <si>
    <t>CONDO 904</t>
  </si>
  <si>
    <t>Coordenada Country Poniente 105</t>
  </si>
  <si>
    <t>Matilde 103C</t>
  </si>
  <si>
    <t>CONDO 906</t>
  </si>
  <si>
    <t>Coordenada Country Poniente 107</t>
  </si>
  <si>
    <t>Matilde 203C</t>
  </si>
  <si>
    <t>CONDO 911</t>
  </si>
  <si>
    <t>Coordenada Country Poniente 1401</t>
  </si>
  <si>
    <t>Matilde 304D</t>
  </si>
  <si>
    <t>CONDO 1006</t>
  </si>
  <si>
    <t>Coordenada Country Poniente 1501</t>
  </si>
  <si>
    <t>Matilde 403H</t>
  </si>
  <si>
    <t>CONDO 1011</t>
  </si>
  <si>
    <t>Coordenada Country Poniente 1502</t>
  </si>
  <si>
    <t>Matilde 503I</t>
  </si>
  <si>
    <t>CONDO 1106</t>
  </si>
  <si>
    <t>Coordenada Country Poniente 1601</t>
  </si>
  <si>
    <t>Matilde 603J</t>
  </si>
  <si>
    <t>CONDO 1111</t>
  </si>
  <si>
    <t>Coordenada Country Poniente 1602</t>
  </si>
  <si>
    <t>Matilde 802K</t>
  </si>
  <si>
    <t>CONDO 1206</t>
  </si>
  <si>
    <t>Coordenada Country Poniente 1701</t>
  </si>
  <si>
    <t>CONDO 1210</t>
  </si>
  <si>
    <t>98.07</t>
  </si>
  <si>
    <t>Coordenada Country Poniente 201</t>
  </si>
  <si>
    <t>VEQ SEVERO DIAZ (DISPONIBLE)</t>
  </si>
  <si>
    <t>CONDO 1211</t>
  </si>
  <si>
    <t>Coordenada Country Poniente 202</t>
  </si>
  <si>
    <t>CONDO 1306</t>
  </si>
  <si>
    <t>Coordenada Country Poniente 203</t>
  </si>
  <si>
    <t>Severo Díaz A 1001</t>
  </si>
  <si>
    <t>CONDO 1310</t>
  </si>
  <si>
    <t>Coordenada Country Poniente 204</t>
  </si>
  <si>
    <t>Severo Díaz A 1003</t>
  </si>
  <si>
    <t>CONDO 1311</t>
  </si>
  <si>
    <t>Coordenada Country Poniente 206</t>
  </si>
  <si>
    <t>Severo Díaz A 1004</t>
  </si>
  <si>
    <t>CONDO 1406</t>
  </si>
  <si>
    <t>Coordenada Country Poniente 207</t>
  </si>
  <si>
    <t>Severo Díaz A 1005</t>
  </si>
  <si>
    <t>CONDO 1411</t>
  </si>
  <si>
    <t>Coordenada Country Poniente 301</t>
  </si>
  <si>
    <t>Severo Díaz A 1006, 1007</t>
  </si>
  <si>
    <t>CONDO 1412</t>
  </si>
  <si>
    <t>Coordenada Country Poniente 302</t>
  </si>
  <si>
    <t>Severo Díaz A 1008</t>
  </si>
  <si>
    <t>CONDO 1504</t>
  </si>
  <si>
    <t>Coordenada Country Poniente 303</t>
  </si>
  <si>
    <t>Severo Díaz A 101</t>
  </si>
  <si>
    <t>CONDO 1506</t>
  </si>
  <si>
    <t>Coordenada Country Poniente 304</t>
  </si>
  <si>
    <t>Severo Díaz A 104</t>
  </si>
  <si>
    <t>CONDO 1511</t>
  </si>
  <si>
    <t>Coordenada Country Poniente 306</t>
  </si>
  <si>
    <t>Severo Díaz A 1101</t>
  </si>
  <si>
    <t>CONDO 1606</t>
  </si>
  <si>
    <t>Coordenada Country Poniente 307</t>
  </si>
  <si>
    <t>Severo Díaz A 1102, 1103</t>
  </si>
  <si>
    <t>CONDO 1611</t>
  </si>
  <si>
    <t>Coordenada Country Poniente 401</t>
  </si>
  <si>
    <t>Severo Díaz A 1104</t>
  </si>
  <si>
    <t>CONDO 1612</t>
  </si>
  <si>
    <t>Coordenada Country Poniente 403</t>
  </si>
  <si>
    <t>Severo Díaz A 1105</t>
  </si>
  <si>
    <t>CONDO 1704</t>
  </si>
  <si>
    <t>Coordenada Country Poniente 404</t>
  </si>
  <si>
    <t>Severo Díaz A 1107</t>
  </si>
  <si>
    <t>CONDO 1706</t>
  </si>
  <si>
    <t>Coordenada Country Poniente 407</t>
  </si>
  <si>
    <t>Severo Díaz A 1108</t>
  </si>
  <si>
    <t>CONDO 1711</t>
  </si>
  <si>
    <t>Coordenada Country Poniente 501</t>
  </si>
  <si>
    <t>Severo Díaz A 1201</t>
  </si>
  <si>
    <t>CONDO 1712</t>
  </si>
  <si>
    <t>Coordenada Country Poniente 504</t>
  </si>
  <si>
    <t>Severo Díaz A 1202, 1203</t>
  </si>
  <si>
    <t>CONDO 1804</t>
  </si>
  <si>
    <t>Coordenada Country Poniente 505</t>
  </si>
  <si>
    <t>Severo Díaz A 1204</t>
  </si>
  <si>
    <t>CONDO 1806</t>
  </si>
  <si>
    <t>Coordenada Country Poniente 507</t>
  </si>
  <si>
    <t>Severo Díaz A 1205</t>
  </si>
  <si>
    <t>CONDO 1811</t>
  </si>
  <si>
    <t>Coordenada Country Poniente 603</t>
  </si>
  <si>
    <t>Severo Díaz A 1206, 1207</t>
  </si>
  <si>
    <t>CONDO 1812</t>
  </si>
  <si>
    <t>Coordenada Country Poniente 604</t>
  </si>
  <si>
    <t>Severo Díaz A 1208</t>
  </si>
  <si>
    <t>CONDO 1904</t>
  </si>
  <si>
    <t>Coordenada Country Poniente 605</t>
  </si>
  <si>
    <t>Severo Díaz A 201</t>
  </si>
  <si>
    <t>CONDO 1906</t>
  </si>
  <si>
    <t>Coordenada Country Poniente 606</t>
  </si>
  <si>
    <t>Severo Díaz A 202</t>
  </si>
  <si>
    <t>CONDO 1911</t>
  </si>
  <si>
    <t>Coordenada Country Poniente 703</t>
  </si>
  <si>
    <t>Severo Díaz A 203</t>
  </si>
  <si>
    <t>CONDO 1912</t>
  </si>
  <si>
    <t>Coordenada Country Poniente 705</t>
  </si>
  <si>
    <t>Severo Díaz A 205</t>
  </si>
  <si>
    <t>CONDO 2004</t>
  </si>
  <si>
    <t>Coordenada Country Poniente 706</t>
  </si>
  <si>
    <t>Severo Díaz A 304</t>
  </si>
  <si>
    <t>CONDO 2006</t>
  </si>
  <si>
    <t>Coordenada Country Poniente 707</t>
  </si>
  <si>
    <t>Severo Díaz A 305</t>
  </si>
  <si>
    <t>CONDO 2012</t>
  </si>
  <si>
    <t>Coordenada Country Poniente 803</t>
  </si>
  <si>
    <t>Severo Díaz A 403</t>
  </si>
  <si>
    <t>CONDO 2104</t>
  </si>
  <si>
    <t>Coordenada Country Poniente 805</t>
  </si>
  <si>
    <t>Severo Díaz A 404</t>
  </si>
  <si>
    <t>CONDO 2106</t>
  </si>
  <si>
    <t>Coordenada Country Poniente 806</t>
  </si>
  <si>
    <t>Severo Díaz A 405</t>
  </si>
  <si>
    <t>CONDO 2111</t>
  </si>
  <si>
    <t>Coordenada Country Poniente 906</t>
  </si>
  <si>
    <t>Severo Díaz A 502</t>
  </si>
  <si>
    <t>CONDO 2112</t>
  </si>
  <si>
    <t>Coordenada Country Sur 1102 (Bodega 23)</t>
  </si>
  <si>
    <t>Severo Díaz A 503</t>
  </si>
  <si>
    <t>CONDO 2302</t>
  </si>
  <si>
    <t>123.32</t>
  </si>
  <si>
    <t>Coordenada Country Sur 1302 (Bodega 40)</t>
  </si>
  <si>
    <t>Severo Díaz A 504</t>
  </si>
  <si>
    <t>CONDO 2306</t>
  </si>
  <si>
    <t>Coordenada Country Sur 1402 (Bodega 37)</t>
  </si>
  <si>
    <t>Severo Díaz A 505</t>
  </si>
  <si>
    <t>CONDO 2502</t>
  </si>
  <si>
    <t>Coordenada Country Sur 1502</t>
  </si>
  <si>
    <t>Severo Díaz A 603</t>
  </si>
  <si>
    <t>CONDO 2504</t>
  </si>
  <si>
    <t>Coordenada Country Sur 1602</t>
  </si>
  <si>
    <t>Severo Díaz A 805</t>
  </si>
  <si>
    <t>CONDO 2506</t>
  </si>
  <si>
    <t>Coordenada Country Sur 204 (Bodega 113)</t>
  </si>
  <si>
    <t>Severo Díaz A 905</t>
  </si>
  <si>
    <t>CONDO 2602</t>
  </si>
  <si>
    <t>122.74</t>
  </si>
  <si>
    <t>Coordenada Country Sur 207 (Bodega 139)</t>
  </si>
  <si>
    <t>Severo Díaz A 908</t>
  </si>
  <si>
    <t>CONDO 2603</t>
  </si>
  <si>
    <t>137.97</t>
  </si>
  <si>
    <t>Severo Díaz A LOFT 2</t>
  </si>
  <si>
    <t>CONDO 2605</t>
  </si>
  <si>
    <t>125.71</t>
  </si>
  <si>
    <t>SOHO MORELOS (DISPONIBLE)</t>
  </si>
  <si>
    <t>CONDO 2606</t>
  </si>
  <si>
    <t xml:space="preserve">VEQ VILLA MORELOS </t>
  </si>
  <si>
    <t>CONDO 2702</t>
  </si>
  <si>
    <t>SOHO Morelos 1406</t>
  </si>
  <si>
    <t>CONDO 2703</t>
  </si>
  <si>
    <t>141.74</t>
  </si>
  <si>
    <t>VEQ Villa Morelos 207</t>
  </si>
  <si>
    <t>CONDO 2704</t>
  </si>
  <si>
    <t>SOHO 5220 (DISPONIBLE)</t>
  </si>
  <si>
    <t>VEQ Villa Morelos 309</t>
  </si>
  <si>
    <t>CONDO 2705</t>
  </si>
  <si>
    <t>123.28</t>
  </si>
  <si>
    <t>VEQ Villa Morelos 312</t>
  </si>
  <si>
    <t>CONDO 2802</t>
  </si>
  <si>
    <t>SOHO 5220 501</t>
  </si>
  <si>
    <t>VEQ Villa Morelos 406</t>
  </si>
  <si>
    <t>CONDO 2804</t>
  </si>
  <si>
    <t>SOHO 5220 602</t>
  </si>
  <si>
    <t>(REVENTA)</t>
  </si>
  <si>
    <t>VEQ Villa Morelos 407</t>
  </si>
  <si>
    <t>CONDO 2806</t>
  </si>
  <si>
    <t>VEQ Villa Morelos 408</t>
  </si>
  <si>
    <t>CONDO 2902</t>
  </si>
  <si>
    <t>COORDENADA LAFAYETTE (DISPONIBLE)</t>
  </si>
  <si>
    <t>VEQ Villa Morelos 409</t>
  </si>
  <si>
    <t>CONDO 2904</t>
  </si>
  <si>
    <t>VEQ Villa Morelos 411</t>
  </si>
  <si>
    <t>CONDO 2905</t>
  </si>
  <si>
    <t>Coordenada Lafayette C 2001</t>
  </si>
  <si>
    <t>VEQ Villa Morelos 506</t>
  </si>
  <si>
    <t>CONDO 2906</t>
  </si>
  <si>
    <t>Coordenada Lafayette C 701</t>
  </si>
  <si>
    <t>VEQ Villa Morelos 507</t>
  </si>
  <si>
    <t>CONDO 3002</t>
  </si>
  <si>
    <t>Coordenada Lafayette C 901</t>
  </si>
  <si>
    <t>VEQ Villa Morelos 605</t>
  </si>
  <si>
    <t>CONDO 3003</t>
  </si>
  <si>
    <t>Coordenada Lafayette C 903</t>
  </si>
  <si>
    <t>VEQ Villa Morelos 606</t>
  </si>
  <si>
    <t>VEQ Villa Morelos 607</t>
  </si>
  <si>
    <t>VEQ ASUNCION (DISPONIBLE)</t>
  </si>
  <si>
    <t>VEQ Villa Morelos 608</t>
  </si>
  <si>
    <t>MONTE SERENO (DISPONIBLE)</t>
  </si>
  <si>
    <t>VEQ Villa Morelos 617</t>
  </si>
  <si>
    <t>VEQ Asunción 1202</t>
  </si>
  <si>
    <t>VEQ Villa Morelos 706</t>
  </si>
  <si>
    <t>LOTE 2, 6, 8</t>
  </si>
  <si>
    <t>10,000.00</t>
  </si>
  <si>
    <t>VEQ Asunción 1302</t>
  </si>
  <si>
    <t>VEQ Villa Morelos 715</t>
  </si>
  <si>
    <t>LOTE 3</t>
  </si>
  <si>
    <t>11,531.02</t>
  </si>
  <si>
    <t>VEQ Asunción 1401</t>
  </si>
  <si>
    <t>VEQ Villa Morelos 717</t>
  </si>
  <si>
    <t>VEQ Asunción 302</t>
  </si>
  <si>
    <t>VEQ Villa Morelos L 4</t>
  </si>
  <si>
    <t>ZAFIRA (DISPONIBLE)</t>
  </si>
  <si>
    <t>VEQ Asunción 303</t>
  </si>
  <si>
    <t>VEQ Villa Morelos Bodega</t>
  </si>
  <si>
    <t>VEQ Asunción 402</t>
  </si>
  <si>
    <t>VEQ Villa Morelos Bodega 10</t>
  </si>
  <si>
    <t xml:space="preserve"> DEPTO 303</t>
  </si>
  <si>
    <t>83.6</t>
  </si>
  <si>
    <t>VEQ Asunción 403</t>
  </si>
  <si>
    <t>VEQ Villa Morelos Bodega 11</t>
  </si>
  <si>
    <t>DEPTO 504</t>
  </si>
  <si>
    <t>70.4</t>
  </si>
  <si>
    <t>VEQ Asunción 404</t>
  </si>
  <si>
    <t>VEQ Villa Morelos Bodega 12</t>
  </si>
  <si>
    <t>DEPTO 704</t>
  </si>
  <si>
    <t>VEQ Asunción 504</t>
  </si>
  <si>
    <t>VEQ Villa Morelos Bodega 13</t>
  </si>
  <si>
    <t>DEPTO 901</t>
  </si>
  <si>
    <t>VEQ Asunción 601</t>
  </si>
  <si>
    <t>VEQ Villa Morelos Bodega 14</t>
  </si>
  <si>
    <t>VEQ Asunción 701</t>
  </si>
  <si>
    <t>VEQ Villa Morelos Bodega 15</t>
  </si>
  <si>
    <t>OKüN LIVING (DISPONIBLE)</t>
  </si>
  <si>
    <t>VEQ Asunción 702</t>
  </si>
  <si>
    <t>VEQ Villa Morelos Bodega 16</t>
  </si>
  <si>
    <t>VEQ Asunción 703</t>
  </si>
  <si>
    <t>VEQ Villa Morelos Bodega 17</t>
  </si>
  <si>
    <t>Okün Living A 1002</t>
  </si>
  <si>
    <t>VEQ Asunción 801</t>
  </si>
  <si>
    <t>VEQ Villa Morelos Bodega 2</t>
  </si>
  <si>
    <t>Okün Living A 1005</t>
  </si>
  <si>
    <t>VEQ Asunción 804</t>
  </si>
  <si>
    <t>VEQ Villa Morelos Bodega 3</t>
  </si>
  <si>
    <t>Okün Living A 1006</t>
  </si>
  <si>
    <t>VEQ Villa Morelos Bodega 5</t>
  </si>
  <si>
    <t>Okün Living A 1007</t>
  </si>
  <si>
    <t xml:space="preserve">VEQ BRASILIA </t>
  </si>
  <si>
    <t>VEQ Villa Morelos Bodega 6</t>
  </si>
  <si>
    <t>Okün Living A 1009, 1011</t>
  </si>
  <si>
    <t>VEQ Villa Morelos Bodega 7</t>
  </si>
  <si>
    <t>Okün Living A 1013</t>
  </si>
  <si>
    <t>VEQ Brasilia A 1005, 1006</t>
  </si>
  <si>
    <t>VEQ Villa Morelos Bodega 8</t>
  </si>
  <si>
    <t>Okün Living A 1014</t>
  </si>
  <si>
    <t>VEQ Brasilia A 1101</t>
  </si>
  <si>
    <t>VEQ Villa Morelos Bodega 9</t>
  </si>
  <si>
    <t>Okün Living A 1015</t>
  </si>
  <si>
    <t>VEQ Brasilia A 1105, 1106</t>
  </si>
  <si>
    <t>Okün Living A 1016</t>
  </si>
  <si>
    <t>VEQ Brasilia A 1201</t>
  </si>
  <si>
    <t>LIRICA (DISPONIBLES)</t>
  </si>
  <si>
    <t>Okün Living A 1017</t>
  </si>
  <si>
    <t>VEQ Brasilia A 1205</t>
  </si>
  <si>
    <t>Okün Living A 110</t>
  </si>
  <si>
    <t>VEQ Brasilia A 1305</t>
  </si>
  <si>
    <t>Lírica A 403</t>
  </si>
  <si>
    <t>Okün Living A 1102 (+ ROOF 2)</t>
  </si>
  <si>
    <t>VEQ Brasilia A 1306</t>
  </si>
  <si>
    <t>Lírica B 1007</t>
  </si>
  <si>
    <t>Okün Living A 1105 (+ ROOF 5)</t>
  </si>
  <si>
    <t>VEQ Brasilia A 1402</t>
  </si>
  <si>
    <t>Lírica B 1107</t>
  </si>
  <si>
    <t>Okün Living A 1107 (+ ROOF 7)</t>
  </si>
  <si>
    <t>VEQ Brasilia A 1502</t>
  </si>
  <si>
    <t>Lírica B 1108</t>
  </si>
  <si>
    <t>Okün Living A 1109 (+ ROOF 9)</t>
  </si>
  <si>
    <t>VEQ Brasilia A 1602</t>
  </si>
  <si>
    <t>Lírica B 1206</t>
  </si>
  <si>
    <t>Okün Living A 111</t>
  </si>
  <si>
    <t>VEQ Brasilia A 1702</t>
  </si>
  <si>
    <t>Lírica B 1207</t>
  </si>
  <si>
    <t>Okün Living A 1110 (+ ROOF 10), Okün Living A 1111 (+ ROOF 11)</t>
  </si>
  <si>
    <t>VEQ Brasilia A 1704</t>
  </si>
  <si>
    <t>Lírica B 1302</t>
  </si>
  <si>
    <t>Okün Living A 1113 (+ ROOF 13)</t>
  </si>
  <si>
    <t>VEQ Brasilia A 1802</t>
  </si>
  <si>
    <t>Lírica B 1307</t>
  </si>
  <si>
    <t>Okün Living A 1114 (+ ROOF 14)</t>
  </si>
  <si>
    <t>VEQ Brasilia A 203</t>
  </si>
  <si>
    <t>Lírica B 507</t>
  </si>
  <si>
    <t>Okün Living A 1115 (+ ROOF 15)</t>
  </si>
  <si>
    <t>VEQ Brasilia A 206</t>
  </si>
  <si>
    <t>Lírica B 802</t>
  </si>
  <si>
    <t>Okün Living A 1116 (+ ROOF 16)</t>
  </si>
  <si>
    <t>VEQ Brasilia A 302</t>
  </si>
  <si>
    <t>Lírica B 804</t>
  </si>
  <si>
    <t>Okün Living A 1117</t>
  </si>
  <si>
    <t>VEQ Brasilia A 507, 508</t>
  </si>
  <si>
    <t>Lírica B 807</t>
  </si>
  <si>
    <t>Okün Living A 113</t>
  </si>
  <si>
    <t>VEQ Brasilia A 602</t>
  </si>
  <si>
    <t>Lírica B 904</t>
  </si>
  <si>
    <t>Okün Living A 114</t>
  </si>
  <si>
    <t>VEQ Brasilia A 605, 606</t>
  </si>
  <si>
    <t>Lírica C 105</t>
  </si>
  <si>
    <t>Okün Living A 116</t>
  </si>
  <si>
    <t>VEQ Brasilia A 701</t>
  </si>
  <si>
    <t>Lírica C 1104</t>
  </si>
  <si>
    <t>Okün Living A 117</t>
  </si>
  <si>
    <t>VEQ Brasilia A 705, 706</t>
  </si>
  <si>
    <t>Lírica C 1204</t>
  </si>
  <si>
    <t>Okün Living A 207</t>
  </si>
  <si>
    <t>VEQ Brasilia A 801</t>
  </si>
  <si>
    <t>Lírica C 1403</t>
  </si>
  <si>
    <t>Okün Living A 215</t>
  </si>
  <si>
    <t>VEQ Brasilia A 805, 806</t>
  </si>
  <si>
    <t>Lírica C 1404</t>
  </si>
  <si>
    <t>Okün Living A 216</t>
  </si>
  <si>
    <t>VEQ Brasilia A 901</t>
  </si>
  <si>
    <t>Lírica C 1503</t>
  </si>
  <si>
    <t>Okün Living A 313</t>
  </si>
  <si>
    <t>VEQ Brasilia A 905, 906</t>
  </si>
  <si>
    <t>Lírica C 201</t>
  </si>
  <si>
    <t>Okün Living A 314</t>
  </si>
  <si>
    <t>VEQ Brasilia PH 1</t>
  </si>
  <si>
    <t>Lírica C 203</t>
  </si>
  <si>
    <t>Okün Living A 316</t>
  </si>
  <si>
    <t>Lírica C 205</t>
  </si>
  <si>
    <t>Okün Living A 410</t>
  </si>
  <si>
    <t>VEQ MORELOS (DISPONIBLE)</t>
  </si>
  <si>
    <t>Lírica C 208</t>
  </si>
  <si>
    <t>Okün Living A 413</t>
  </si>
  <si>
    <t>Lírica C 301</t>
  </si>
  <si>
    <t>Okün Living A 613</t>
  </si>
  <si>
    <t>VEQ Morelos A 1003</t>
  </si>
  <si>
    <t>Lírica C 401</t>
  </si>
  <si>
    <t>Okün Living A 910</t>
  </si>
  <si>
    <t>VEQ Morelos A 1007</t>
  </si>
  <si>
    <t>Lírica C 404</t>
  </si>
  <si>
    <t>Okün Living A ROOF 1</t>
  </si>
  <si>
    <t>VEQ Morelos A 1103</t>
  </si>
  <si>
    <t>Lírica C 408</t>
  </si>
  <si>
    <t>Okün Living A ROOF 10</t>
  </si>
  <si>
    <t>VEQ Morelos A 1105</t>
  </si>
  <si>
    <t>Lírica C 504</t>
  </si>
  <si>
    <t>Okün Living A ROOF 11</t>
  </si>
  <si>
    <t>VEQ Morelos A 1106</t>
  </si>
  <si>
    <t>Lírica C 601</t>
  </si>
  <si>
    <t>Okün Living A ROOF 13</t>
  </si>
  <si>
    <t>VEQ Morelos A 1107</t>
  </si>
  <si>
    <t>Lírica C 604</t>
  </si>
  <si>
    <t>Okün Living A ROOF 14</t>
  </si>
  <si>
    <t>VEQ Morelos A 1108</t>
  </si>
  <si>
    <t>Lírica C 605</t>
  </si>
  <si>
    <t>Okün Living A ROOF 15, Okün Living A ROOF 16</t>
  </si>
  <si>
    <t>VEQ Morelos A 203</t>
  </si>
  <si>
    <t>Lírica C 701</t>
  </si>
  <si>
    <t>Okün Living A ROOF 17, Okün Living A ROOF 2</t>
  </si>
  <si>
    <t>VEQ Morelos A 206, 208, 212</t>
  </si>
  <si>
    <t>Lírica C 704</t>
  </si>
  <si>
    <t>Okün Living A ROOF 7</t>
  </si>
  <si>
    <t>VEQ Morelos A 209</t>
  </si>
  <si>
    <t>Lírica C 804</t>
  </si>
  <si>
    <t>Okün Living A ROOF 8</t>
  </si>
  <si>
    <t>VEQ Morelos A 211</t>
  </si>
  <si>
    <t>Lírica C 904</t>
  </si>
  <si>
    <t>Okün Living A ROOF 9</t>
  </si>
  <si>
    <t>VEQ Morelos A 219</t>
  </si>
  <si>
    <t>Lírica C TH 16</t>
  </si>
  <si>
    <t>Okün Living L 1</t>
  </si>
  <si>
    <t>VEQ Morelos A 303</t>
  </si>
  <si>
    <t>Okün Living L 10</t>
  </si>
  <si>
    <t>VEQ Morelos A 310</t>
  </si>
  <si>
    <t>COORDENADA CENTRAL (DISPONIBLE)</t>
  </si>
  <si>
    <t>Okün Living L 11</t>
  </si>
  <si>
    <t>VEQ Morelos A 403</t>
  </si>
  <si>
    <t>Okün Living L 12</t>
  </si>
  <si>
    <t>VEQ Morelos A 406, 407, 408, 412, 413</t>
  </si>
  <si>
    <t>Coordenada Central A 305 F3</t>
  </si>
  <si>
    <t>Okün Living L 13</t>
  </si>
  <si>
    <t>VEQ Morelos A 409</t>
  </si>
  <si>
    <t>Coordenada Central B 1005 F2</t>
  </si>
  <si>
    <t>Okün Living L 14, 15, 16, 17, 18, 19</t>
  </si>
  <si>
    <t>VEQ Morelos A 410</t>
  </si>
  <si>
    <t>Coordenada Central B 1006 F2</t>
  </si>
  <si>
    <t>Okün Living L 2</t>
  </si>
  <si>
    <t>VEQ Morelos A 411</t>
  </si>
  <si>
    <t>Coordenada Central B 1105 F2</t>
  </si>
  <si>
    <t>Okün Living L 22</t>
  </si>
  <si>
    <t>VEQ Morelos A 414</t>
  </si>
  <si>
    <t>Coordenada Central B 1107 F2</t>
  </si>
  <si>
    <t>Okün Living L 23</t>
  </si>
  <si>
    <t>VEQ Morelos A 415</t>
  </si>
  <si>
    <t>Coordenada Central B 1109 F2</t>
  </si>
  <si>
    <t>Okün Living L 27</t>
  </si>
  <si>
    <t>VEQ Morelos A 416, 417</t>
  </si>
  <si>
    <t>Coordenada Central B 1209 F2</t>
  </si>
  <si>
    <t>Okün Living L 3, 4, 5, 6, 7</t>
  </si>
  <si>
    <t>VEQ Morelos A 418</t>
  </si>
  <si>
    <t>Coordenada Central B 1301 F2</t>
  </si>
  <si>
    <t>Okün Living L 8</t>
  </si>
  <si>
    <t>VEQ Morelos A 508</t>
  </si>
  <si>
    <t>Coordenada Central B 1305 F2</t>
  </si>
  <si>
    <t>Okün Living L 9</t>
  </si>
  <si>
    <t>VEQ Morelos A 509</t>
  </si>
  <si>
    <t>Coordenada Central B 1307 F2</t>
  </si>
  <si>
    <t>VEQ Morelos A 603,606</t>
  </si>
  <si>
    <t>Coordenada Central B 1309 F2</t>
  </si>
  <si>
    <t xml:space="preserve">ALANA WELLNESS LIVING </t>
  </si>
  <si>
    <t>VEQ Morelos A 604</t>
  </si>
  <si>
    <t>Coordenada Central B 1401 F2</t>
  </si>
  <si>
    <t>VEQ Morelos A 605</t>
  </si>
  <si>
    <t>Coordenada Central B 1405 F2</t>
  </si>
  <si>
    <t>Alana C 103</t>
  </si>
  <si>
    <t>VEQ Morelos A 607</t>
  </si>
  <si>
    <t>Coordenada Central B 1406 F2</t>
  </si>
  <si>
    <t>Alana C 204</t>
  </si>
  <si>
    <t>VEQ Morelos A 608</t>
  </si>
  <si>
    <t>Coordenada Central B 1407 F2</t>
  </si>
  <si>
    <t>Alana C 205</t>
  </si>
  <si>
    <t>VEQ Morelos A 703</t>
  </si>
  <si>
    <t>Coordenada Central B 1408 F2</t>
  </si>
  <si>
    <t>Alana C 301</t>
  </si>
  <si>
    <t>VEQ Morelos A 704</t>
  </si>
  <si>
    <t>Coordenada Central B 1409 F2</t>
  </si>
  <si>
    <t>Alana C 404</t>
  </si>
  <si>
    <t>VEQ Morelos A 705</t>
  </si>
  <si>
    <t>Coordenada Central B 401 F2</t>
  </si>
  <si>
    <t>Alana C 408</t>
  </si>
  <si>
    <t>VEQ Morelos A 706</t>
  </si>
  <si>
    <t>Coordenada Central B 605 F2</t>
  </si>
  <si>
    <t>Alana C 502</t>
  </si>
  <si>
    <t>VEQ Morelos A 707</t>
  </si>
  <si>
    <t>Coordenada Central B 607 F2</t>
  </si>
  <si>
    <t>Alana C 602</t>
  </si>
  <si>
    <t>VEQ Morelos A 708</t>
  </si>
  <si>
    <t>Coordenada Central B 608 F2</t>
  </si>
  <si>
    <t>Alana D 102</t>
  </si>
  <si>
    <t>VEQ Morelos A 803</t>
  </si>
  <si>
    <t>Coordenada Central B 609 F2</t>
  </si>
  <si>
    <t>Alana D 103</t>
  </si>
  <si>
    <t>VEQ Morelos A 804</t>
  </si>
  <si>
    <t>Coordenada Central B 701 F2</t>
  </si>
  <si>
    <t>Alana D 202, 205</t>
  </si>
  <si>
    <t>VEQ Morelos A 805</t>
  </si>
  <si>
    <t>Coordenada Central B 703 F2</t>
  </si>
  <si>
    <t>Alana D 304</t>
  </si>
  <si>
    <t>VEQ Morelos A 806</t>
  </si>
  <si>
    <t>Coordenada Central B 705 F2</t>
  </si>
  <si>
    <t>Alana D 308</t>
  </si>
  <si>
    <t>VEQ Morelos A 807</t>
  </si>
  <si>
    <t>Coordenada Central B 706 F2</t>
  </si>
  <si>
    <t>Alana D 402</t>
  </si>
  <si>
    <t>VEQ Morelos A 808</t>
  </si>
  <si>
    <t>Coordenada Central B 707 F2</t>
  </si>
  <si>
    <t>Alana D 403</t>
  </si>
  <si>
    <t>VEQ Morelos A 903</t>
  </si>
  <si>
    <t>Coordenada Central B 709 F2</t>
  </si>
  <si>
    <t>Alana D 404</t>
  </si>
  <si>
    <t>VEQ Morelos A 906</t>
  </si>
  <si>
    <t>Coordenada Central B 803 F2</t>
  </si>
  <si>
    <t>Alana D 406</t>
  </si>
  <si>
    <t>VEQ Morelos A 907</t>
  </si>
  <si>
    <t>Coordenada Central B 805 F2</t>
  </si>
  <si>
    <t>Alana D 407</t>
  </si>
  <si>
    <t>VEQ Morelos A 908</t>
  </si>
  <si>
    <t>Coordenada Central B 806 F2</t>
  </si>
  <si>
    <t xml:space="preserve">Alana D 502, 505 </t>
  </si>
  <si>
    <t>BLACK ELEVEN (DISPONIBLE)</t>
  </si>
  <si>
    <t>Coordenada Central B 807 F2</t>
  </si>
  <si>
    <t>Alana D 506</t>
  </si>
  <si>
    <t>Coordenada Central B 809 F2</t>
  </si>
  <si>
    <t>Alana D 601</t>
  </si>
  <si>
    <t>Black Eleven 102</t>
  </si>
  <si>
    <t>($257,881 USD)</t>
  </si>
  <si>
    <t>Coordenada Central B 905 F2</t>
  </si>
  <si>
    <t>Alana D 602</t>
  </si>
  <si>
    <t>Black Eleven 1101</t>
  </si>
  <si>
    <t>($646,750 USD)</t>
  </si>
  <si>
    <t>Coordenada Central B 906 F2</t>
  </si>
  <si>
    <t>Alana D 605</t>
  </si>
  <si>
    <t>Black Eleven 202</t>
  </si>
  <si>
    <t>($259,584 USD)</t>
  </si>
  <si>
    <t>Coordenada Central B 907 F2</t>
  </si>
  <si>
    <t>Alana D 606</t>
  </si>
  <si>
    <t>Black Eleven 902</t>
  </si>
  <si>
    <t>($433,650 USD)</t>
  </si>
  <si>
    <t>Coordenada Central B 909 F2</t>
  </si>
  <si>
    <t xml:space="preserve">Black Eleven Bodega 1, 7 </t>
  </si>
  <si>
    <t>CITADEL RESIDENCES(DISPONIBLE)</t>
  </si>
  <si>
    <t>Black Eleven Bodega 2, 5</t>
  </si>
  <si>
    <t xml:space="preserve">AISHA CABO LIVING </t>
  </si>
  <si>
    <t>Black Eleven Bodega 8</t>
  </si>
  <si>
    <t>Citadel Residences A 301</t>
  </si>
  <si>
    <t>Black Eleven Bodega 9</t>
  </si>
  <si>
    <t>Aisha Cabo Living 101</t>
  </si>
  <si>
    <t>Citadel Residences A 302</t>
  </si>
  <si>
    <t>Aisha Cabo Living 105</t>
  </si>
  <si>
    <t>Citadel Residences A 303</t>
  </si>
  <si>
    <t xml:space="preserve">ALANA SAN JOSE </t>
  </si>
  <si>
    <t>Aisha Cabo Living 201</t>
  </si>
  <si>
    <t>Citadel Residences A 305</t>
  </si>
  <si>
    <t>Aisha Cabo Living 202</t>
  </si>
  <si>
    <t>Citadel Residences A 306</t>
  </si>
  <si>
    <t>Alana San José A 102</t>
  </si>
  <si>
    <t>Aisha Cabo Living 203</t>
  </si>
  <si>
    <t>Citadel Residences A 307</t>
  </si>
  <si>
    <t>Alana San José A 103, 104</t>
  </si>
  <si>
    <t>Aisha Cabo Living 205</t>
  </si>
  <si>
    <t>Citadel Residences A 308</t>
  </si>
  <si>
    <t>Alana San José A 105</t>
  </si>
  <si>
    <t>Aisha Cabo Living 206</t>
  </si>
  <si>
    <t>Citadel Residences A 401</t>
  </si>
  <si>
    <t>Alana San José A 106</t>
  </si>
  <si>
    <t>Aisha Cabo Living 208</t>
  </si>
  <si>
    <t>Citadel Residences A 402</t>
  </si>
  <si>
    <t>Alana San José A 202</t>
  </si>
  <si>
    <t>Aisha Cabo Living 301</t>
  </si>
  <si>
    <t>Citadel Residences A 403</t>
  </si>
  <si>
    <t>Alana San José A 203</t>
  </si>
  <si>
    <t xml:space="preserve">Aisha Cabo Living 302, 405 </t>
  </si>
  <si>
    <t>Citadel Residences A 405</t>
  </si>
  <si>
    <t>Alana San José A 204</t>
  </si>
  <si>
    <t xml:space="preserve">Aisha Cabo Living 303, 304 </t>
  </si>
  <si>
    <t>Citadel Residences A 406</t>
  </si>
  <si>
    <t>Alana San José A 205</t>
  </si>
  <si>
    <t>Aisha Cabo Living 305</t>
  </si>
  <si>
    <t>Citadel Residences A 408</t>
  </si>
  <si>
    <t>Alana San José A 206</t>
  </si>
  <si>
    <t>Aisha Cabo Living 306</t>
  </si>
  <si>
    <t>Citadel Residences A 501</t>
  </si>
  <si>
    <t>Alana San José A 302</t>
  </si>
  <si>
    <t>Aisha Cabo Living 307</t>
  </si>
  <si>
    <t>Citadel Residences A 502</t>
  </si>
  <si>
    <t>Alana San José A 303</t>
  </si>
  <si>
    <t>Aisha Cabo Living 401</t>
  </si>
  <si>
    <t>Citadel Residences A 503</t>
  </si>
  <si>
    <t>Alana San José A 304</t>
  </si>
  <si>
    <t>Aisha Cabo Living 402</t>
  </si>
  <si>
    <t>Citadel Residences A 504</t>
  </si>
  <si>
    <t>Alana San José A 306</t>
  </si>
  <si>
    <t>Aisha Cabo Living 403, 404</t>
  </si>
  <si>
    <t>Citadel Residences A 505</t>
  </si>
  <si>
    <t>Alana San José A 307</t>
  </si>
  <si>
    <t>Aisha Cabo Living 406</t>
  </si>
  <si>
    <t>Citadel Residences A 506</t>
  </si>
  <si>
    <t>Alana San José A 402</t>
  </si>
  <si>
    <t>Aisha Cabo Living 407</t>
  </si>
  <si>
    <t>Citadel Residences A 507</t>
  </si>
  <si>
    <t>Alana San José A 403</t>
  </si>
  <si>
    <t>Aisha Cabo Living 408</t>
  </si>
  <si>
    <t>Citadel Residences A 508</t>
  </si>
  <si>
    <t>Alana San José A 404</t>
  </si>
  <si>
    <t>Aisha Cabo Living 506</t>
  </si>
  <si>
    <t>Citadel Residences A 601</t>
  </si>
  <si>
    <t>Alana San José A 405</t>
  </si>
  <si>
    <t>Aisha Cabo Living 507</t>
  </si>
  <si>
    <t>Citadel Residences A 602</t>
  </si>
  <si>
    <t>Alana San José A 406</t>
  </si>
  <si>
    <t>Aisha Cabo Living 508</t>
  </si>
  <si>
    <t>Citadel Residences A 603</t>
  </si>
  <si>
    <t>Citadel Residences A 604</t>
  </si>
  <si>
    <t>LA SELVA 2 (DISPONIBLE)</t>
  </si>
  <si>
    <t>LOMA ALTA RESIDENCIAL (DISPONIBLE)</t>
  </si>
  <si>
    <t>Citadel Residences A 605</t>
  </si>
  <si>
    <t>Citadel Residences A 606</t>
  </si>
  <si>
    <t>Departamento 101</t>
  </si>
  <si>
    <t xml:space="preserve"> 168.62</t>
  </si>
  <si>
    <t>Loma Alta Residencial Lote 1</t>
  </si>
  <si>
    <t>Citadel Residences A 607</t>
  </si>
  <si>
    <t>Departamento 102</t>
  </si>
  <si>
    <t>114.38</t>
  </si>
  <si>
    <t>Loma Alta Residencial Lote 10, 11, 12, 4, 9</t>
  </si>
  <si>
    <t>Citadel Residences A 608</t>
  </si>
  <si>
    <t>Departamento 103</t>
  </si>
  <si>
    <t>261.45</t>
  </si>
  <si>
    <t>Loma Alta Residencial Lote 3</t>
  </si>
  <si>
    <t>Departamento 104</t>
  </si>
  <si>
    <t>261.91</t>
  </si>
  <si>
    <t>Loma Alta Residencial Lote 5</t>
  </si>
  <si>
    <t>LA SELVA (DISPONIBLE)</t>
  </si>
  <si>
    <t>Departamento 105</t>
  </si>
  <si>
    <t xml:space="preserve"> 114.89</t>
  </si>
  <si>
    <t>Loma Alta Residencial Lote 6</t>
  </si>
  <si>
    <t>Departamento 201</t>
  </si>
  <si>
    <t>150.62</t>
  </si>
  <si>
    <t>Loma Alta Residencial Lote 7</t>
  </si>
  <si>
    <t xml:space="preserve">Departamento 203 </t>
  </si>
  <si>
    <t>206.21</t>
  </si>
  <si>
    <t>Departamento 202</t>
  </si>
  <si>
    <t>96.40</t>
  </si>
  <si>
    <t>Loma Alta Residencial Lote 8</t>
  </si>
  <si>
    <t>Departamento 303</t>
  </si>
  <si>
    <t>260.21</t>
  </si>
  <si>
    <t>Departamento 203</t>
  </si>
  <si>
    <t>207.10</t>
  </si>
  <si>
    <t>Departamento 304</t>
  </si>
  <si>
    <t>206.67</t>
  </si>
  <si>
    <t>Departamento 204</t>
  </si>
  <si>
    <t>207.56</t>
  </si>
  <si>
    <t>ARIUM TOWER (DISPONIBLE)</t>
  </si>
  <si>
    <t>Departamento 402</t>
  </si>
  <si>
    <t>95.59</t>
  </si>
  <si>
    <t>Departamento 205</t>
  </si>
  <si>
    <t>96.91</t>
  </si>
  <si>
    <t>Departamento 404</t>
  </si>
  <si>
    <t>Departamento 301</t>
  </si>
  <si>
    <t xml:space="preserve"> 150.62</t>
  </si>
  <si>
    <t>UNIDAD PB-01</t>
  </si>
  <si>
    <t xml:space="preserve"> 82.01</t>
  </si>
  <si>
    <t>Departamento 502</t>
  </si>
  <si>
    <t>Departamento 302</t>
  </si>
  <si>
    <t>UNIDAD  PB-02</t>
  </si>
  <si>
    <t xml:space="preserve"> 68.97 </t>
  </si>
  <si>
    <t>Deoartamento 503</t>
  </si>
  <si>
    <t xml:space="preserve"> 207.10</t>
  </si>
  <si>
    <t>UNIDAD  PB-06</t>
  </si>
  <si>
    <t xml:space="preserve"> 50.72 </t>
  </si>
  <si>
    <t>Departamento 504</t>
  </si>
  <si>
    <t>UNIDAD PB-07</t>
  </si>
  <si>
    <t xml:space="preserve"> 73.70 </t>
  </si>
  <si>
    <t>Departamento 603</t>
  </si>
  <si>
    <t>Departamento 305</t>
  </si>
  <si>
    <t>UNIDAD  101</t>
  </si>
  <si>
    <t xml:space="preserve"> 75.00 </t>
  </si>
  <si>
    <t>Departamento 604</t>
  </si>
  <si>
    <t>Departamento 306</t>
  </si>
  <si>
    <t>161.29</t>
  </si>
  <si>
    <t>UNIDAD 102</t>
  </si>
  <si>
    <t xml:space="preserve"> 51.36</t>
  </si>
  <si>
    <t>Deoartamento 703</t>
  </si>
  <si>
    <t>Departamento 401</t>
  </si>
  <si>
    <t>UNIDAD 105</t>
  </si>
  <si>
    <t xml:space="preserve"> 68.82 </t>
  </si>
  <si>
    <t>Departamento 803</t>
  </si>
  <si>
    <t xml:space="preserve"> UNIDAD 107</t>
  </si>
  <si>
    <t xml:space="preserve">75.90 </t>
  </si>
  <si>
    <t>Departamento 804</t>
  </si>
  <si>
    <t>Departamento 403</t>
  </si>
  <si>
    <t>UNIDAD 201</t>
  </si>
  <si>
    <t>74.77</t>
  </si>
  <si>
    <t>Departamento 903</t>
  </si>
  <si>
    <t xml:space="preserve"> 207.56</t>
  </si>
  <si>
    <t>UNIDAD  202</t>
  </si>
  <si>
    <t xml:space="preserve">52.87 </t>
  </si>
  <si>
    <t>Departamento 405</t>
  </si>
  <si>
    <t xml:space="preserve"> 96.91</t>
  </si>
  <si>
    <t>UNIDAD 204</t>
  </si>
  <si>
    <t>Departamento 406</t>
  </si>
  <si>
    <t xml:space="preserve"> 161.29</t>
  </si>
  <si>
    <t>UNIDAD 205</t>
  </si>
  <si>
    <t xml:space="preserve"> 65.35</t>
  </si>
  <si>
    <t>Departamento 501</t>
  </si>
  <si>
    <t>UNIDAD 206</t>
  </si>
  <si>
    <t>51.82</t>
  </si>
  <si>
    <t xml:space="preserve">96.40 </t>
  </si>
  <si>
    <t>UNIDAD 207</t>
  </si>
  <si>
    <t xml:space="preserve"> 75.81</t>
  </si>
  <si>
    <t>Departamento 503</t>
  </si>
  <si>
    <t>UNIDAD  301</t>
  </si>
  <si>
    <t>UNIDAD 302</t>
  </si>
  <si>
    <t>52.87</t>
  </si>
  <si>
    <t>Departamento 505</t>
  </si>
  <si>
    <t>UNIDAD  303</t>
  </si>
  <si>
    <t>64.70</t>
  </si>
  <si>
    <t>Departamento 506</t>
  </si>
  <si>
    <t>UNIDAD 304</t>
  </si>
  <si>
    <t>Departamento 601</t>
  </si>
  <si>
    <t>UNIDAD  306</t>
  </si>
  <si>
    <t xml:space="preserve"> 51.82</t>
  </si>
  <si>
    <t>Departamento 602</t>
  </si>
  <si>
    <t>UNIDAD 401</t>
  </si>
  <si>
    <t xml:space="preserve"> 74.77</t>
  </si>
  <si>
    <t>UNIDAD  402</t>
  </si>
  <si>
    <t xml:space="preserve"> 52.87</t>
  </si>
  <si>
    <t>UNIDAD 403</t>
  </si>
  <si>
    <t xml:space="preserve"> 64.70</t>
  </si>
  <si>
    <t>Departamento 605</t>
  </si>
  <si>
    <t>UNIDAD 404</t>
  </si>
  <si>
    <t>50.00</t>
  </si>
  <si>
    <t>Departamento 606</t>
  </si>
  <si>
    <t>UNIDAD 405</t>
  </si>
  <si>
    <t>65.35</t>
  </si>
  <si>
    <t>Departamento 701</t>
  </si>
  <si>
    <t>UNIDAD 406</t>
  </si>
  <si>
    <t>Departamento 702</t>
  </si>
  <si>
    <t>UNIDAD 407</t>
  </si>
  <si>
    <t>Departamento 703</t>
  </si>
  <si>
    <t>UNIDAD 501</t>
  </si>
  <si>
    <t>Departamento 704</t>
  </si>
  <si>
    <t>UNIDAD 502</t>
  </si>
  <si>
    <t>Departamento 705</t>
  </si>
  <si>
    <t>UNIDAD 503</t>
  </si>
  <si>
    <t>Departamento 706</t>
  </si>
  <si>
    <t>UNIDAD  504</t>
  </si>
  <si>
    <t>Departamento 801</t>
  </si>
  <si>
    <t>UNIDAD 505</t>
  </si>
  <si>
    <t>Departamento 802</t>
  </si>
  <si>
    <t>UNIDAD 506</t>
  </si>
  <si>
    <t>UNIDAD 507</t>
  </si>
  <si>
    <t>UNIDAD  601</t>
  </si>
  <si>
    <t>Departamento 805</t>
  </si>
  <si>
    <t>UNIDAD 602</t>
  </si>
  <si>
    <t>Departamento 806</t>
  </si>
  <si>
    <t>UNIDAD  603</t>
  </si>
  <si>
    <t>Departamento 901</t>
  </si>
  <si>
    <t>UNIDAD 604</t>
  </si>
  <si>
    <t>Departamento 902</t>
  </si>
  <si>
    <t>UNIDAD  606</t>
  </si>
  <si>
    <t>UNIDAD 607</t>
  </si>
  <si>
    <t>Departamento 904</t>
  </si>
  <si>
    <t>UNIDAD  702</t>
  </si>
  <si>
    <t>Departamento 905</t>
  </si>
  <si>
    <t>UNIDAD  703</t>
  </si>
  <si>
    <t>Departamento 906</t>
  </si>
  <si>
    <t>UNIDAD 706</t>
  </si>
  <si>
    <t>Departamento PH1</t>
  </si>
  <si>
    <t>253.24</t>
  </si>
  <si>
    <t>UNIDAD  801</t>
  </si>
  <si>
    <t>Departamento PH2</t>
  </si>
  <si>
    <t>UNIDAD 802</t>
  </si>
  <si>
    <t>Departamento PH3</t>
  </si>
  <si>
    <t>UNIDAD  806</t>
  </si>
  <si>
    <t xml:space="preserve"> 51.85</t>
  </si>
  <si>
    <t>Departamento PH4</t>
  </si>
  <si>
    <t>265.35</t>
  </si>
  <si>
    <t>UNIDAD  807</t>
  </si>
  <si>
    <t xml:space="preserve"> 75.81 </t>
  </si>
  <si>
    <t>UNIDAD 901</t>
  </si>
  <si>
    <t>UNIDAD 902</t>
  </si>
  <si>
    <t>UNIDAD 903, 905</t>
  </si>
  <si>
    <t xml:space="preserve"> 91.20</t>
  </si>
  <si>
    <t>PARAVIAN BODEGAS (DISPONIBLE)</t>
  </si>
  <si>
    <t>UNIDAD 906</t>
  </si>
  <si>
    <t>UNIDAD 907</t>
  </si>
  <si>
    <t>75.81</t>
  </si>
  <si>
    <t>BODEGA 2, 3, 4, 6, 7, 8, 11, 12, 13</t>
  </si>
  <si>
    <t>1.81</t>
  </si>
  <si>
    <t>UNIDAD 1001</t>
  </si>
  <si>
    <t>BODEGA 5</t>
  </si>
  <si>
    <t>2.68</t>
  </si>
  <si>
    <t>UNIDAD 1002</t>
  </si>
  <si>
    <t>BODEGA 9</t>
  </si>
  <si>
    <t>1.72</t>
  </si>
  <si>
    <t>UNIDAD 1006</t>
  </si>
  <si>
    <t>BODEGA 10</t>
  </si>
  <si>
    <t>1.90</t>
  </si>
  <si>
    <t>UNIDAD  1007</t>
  </si>
  <si>
    <t>BODEGA 14</t>
  </si>
  <si>
    <t>2.31</t>
  </si>
  <si>
    <t>UNIDAD 103</t>
  </si>
  <si>
    <t xml:space="preserve"> 70.30</t>
  </si>
  <si>
    <t>PARAVIAN TOTAL</t>
  </si>
  <si>
    <t>ALTOMARE (DISPONIBLE)</t>
  </si>
  <si>
    <t>Modelo panoramico #2401</t>
  </si>
  <si>
    <t>95.77</t>
  </si>
  <si>
    <t>Modelo panoramico #2402</t>
  </si>
  <si>
    <t>94.35</t>
  </si>
  <si>
    <t>Modelo playa #2403</t>
  </si>
  <si>
    <t>123.22</t>
  </si>
  <si>
    <t>Modelo playa #2404</t>
  </si>
  <si>
    <t>123.23</t>
  </si>
  <si>
    <t xml:space="preserve">fecha de obtecion </t>
  </si>
  <si>
    <t>INMUEBLE</t>
  </si>
  <si>
    <t>UBICACION</t>
  </si>
  <si>
    <t>TERRENO</t>
  </si>
  <si>
    <t>CONSTRUCCION</t>
  </si>
  <si>
    <t>PRECIO</t>
  </si>
  <si>
    <t>COMISION %</t>
  </si>
  <si>
    <t>COMISION EN $</t>
  </si>
  <si>
    <t>FECHA DE OBTENCION</t>
  </si>
  <si>
    <t>FECHA DE TERMINACION</t>
  </si>
  <si>
    <t>Casa</t>
  </si>
  <si>
    <t>Amado Nervo 240 entre Leon y La Paz, Col. Centro</t>
  </si>
  <si>
    <t>352.00</t>
  </si>
  <si>
    <t>241.00</t>
  </si>
  <si>
    <t>Terreno</t>
  </si>
  <si>
    <t>Mexico esq. Naranjo col. Ampliacion Paraiso</t>
  </si>
  <si>
    <t>275.00</t>
  </si>
  <si>
    <t>15.00</t>
  </si>
  <si>
    <t>Departamento</t>
  </si>
  <si>
    <t>Dr. Martinez entre Eulogio Parra y Colima, col. San Antonio</t>
  </si>
  <si>
    <t>57.00</t>
  </si>
  <si>
    <t>Libramiento 9 casi esq. Puerto Rico, col. Miravalles</t>
  </si>
  <si>
    <t>629.00</t>
  </si>
  <si>
    <t>Terreno Libramiento 100</t>
  </si>
  <si>
    <t>Libramiento 100 casi esq. Mississippi, col. Lindavista</t>
  </si>
  <si>
    <t>1,400.00</t>
  </si>
  <si>
    <t>360.00</t>
  </si>
  <si>
    <t>Libramiento esq. Palomas, col. Nuevas Palomas</t>
  </si>
  <si>
    <t>1,140.00</t>
  </si>
  <si>
    <t>673.00</t>
  </si>
  <si>
    <t>Vicente Suarez entre Nezahuatcoyotl y cuitlauac, col. Lomas de la Cruz</t>
  </si>
  <si>
    <t>131.00</t>
  </si>
  <si>
    <t>55.00</t>
  </si>
  <si>
    <t>Bvld. Matanchen Km. 8+348 San Blas</t>
  </si>
  <si>
    <t>1,158.00</t>
  </si>
  <si>
    <t>60.00</t>
  </si>
  <si>
    <t>2 de Abril #6 entre Constitución y Proyecto, col. Mololoa</t>
  </si>
  <si>
    <t>25.00</t>
  </si>
  <si>
    <t>75.00</t>
  </si>
  <si>
    <t>Queretaro entre Allende y Abasolo, col. Centro</t>
  </si>
  <si>
    <t>320.00</t>
  </si>
  <si>
    <t>San Luis casi esq. Insurgentes, col. Centro</t>
  </si>
  <si>
    <t>1,600.00</t>
  </si>
  <si>
    <t>420.00</t>
  </si>
  <si>
    <t>Terreno Veracruz</t>
  </si>
  <si>
    <t>Veracruz entre hidalgo y Lerdo, col. Centro</t>
  </si>
  <si>
    <t>540.00</t>
  </si>
  <si>
    <t>Residencia</t>
  </si>
  <si>
    <t>Pie de playa Chacala</t>
  </si>
  <si>
    <t>Pantanal 1</t>
  </si>
  <si>
    <t>Libramiento Pantanal, predio trasero</t>
  </si>
  <si>
    <t>85,000.00</t>
  </si>
  <si>
    <t>Pantanal 2</t>
  </si>
  <si>
    <t>Libramiento Pantanal sobre carretera</t>
  </si>
  <si>
    <t>30,000.00</t>
  </si>
  <si>
    <t>Rey Nayar, Col. Progreso Xalisco</t>
  </si>
  <si>
    <t>16,999.00</t>
  </si>
  <si>
    <t>TOTAL</t>
  </si>
  <si>
    <t>$ 321,677,440.00</t>
  </si>
  <si>
    <t>TIPO DE INMUEBLE</t>
  </si>
  <si>
    <t>TIPO DE PROYECTO</t>
  </si>
  <si>
    <t>TIPO DE PROPIEDAD</t>
  </si>
  <si>
    <t>CASA</t>
  </si>
  <si>
    <t>RESIDENCIAL</t>
  </si>
  <si>
    <t>PRIVADA</t>
  </si>
  <si>
    <t>DEPARTAMENTO</t>
  </si>
  <si>
    <t>DEPARTAMENTOS</t>
  </si>
  <si>
    <t>MIXTO</t>
  </si>
  <si>
    <t>OFICINA</t>
  </si>
  <si>
    <t>LOCAL</t>
  </si>
  <si>
    <t>COMERCIAL</t>
  </si>
  <si>
    <t>COMUN</t>
  </si>
  <si>
    <t>BODEGA</t>
  </si>
  <si>
    <t>INDUSTRIAL</t>
  </si>
  <si>
    <t>METODO DE PAGO</t>
  </si>
  <si>
    <t>CONTADO</t>
  </si>
  <si>
    <t xml:space="preserve">CREDITO HIPOTECARIO </t>
  </si>
  <si>
    <t xml:space="preserve">FINANCIAMIENTO PROPIO </t>
  </si>
  <si>
    <t>CONTADO:</t>
  </si>
  <si>
    <t>TRANFERENCIA O EFECTIVO</t>
  </si>
  <si>
    <t>CREDITO HIPOTECARIO:</t>
  </si>
  <si>
    <t xml:space="preserve">CREDITO QUE AUTIRIZA LOS BANCOS O FINANCIERAS </t>
  </si>
  <si>
    <t>Contado con 90% enganche, 0% mensualidad y entrega del 10%</t>
  </si>
  <si>
    <t xml:space="preserve">12 meses con un enganche del 25%, 50% de mensualidad y 25% de entrega </t>
  </si>
  <si>
    <t>FINANCIAMIENTO PROPIO:</t>
  </si>
  <si>
    <t xml:space="preserve">ESQUEMA DONDE LE PAGAS A MESES AL DESARROLLADOR </t>
  </si>
  <si>
    <t xml:space="preserve">Entrega inmediata: 30% de enganche mas 70% a la escritura </t>
  </si>
  <si>
    <t xml:space="preserve">30% de enganche mas 70% a la escritura   O   30% enganche mas 60% en mensualidades y 10% a la escritura </t>
  </si>
  <si>
    <t>90% enganche mas 10% de entrega O 20% enganche mas 40% financiado a 12, 24, 36 y 48 meses mas 40% de entrega</t>
  </si>
  <si>
    <t>15% de enganche mas 15% en mesnsualidades y 70% contra entrega O 30, 50 y 80% enganche mas 70, 50 y 20% de entrega</t>
  </si>
  <si>
    <t>30% de enganche mas 70% financiado</t>
  </si>
  <si>
    <t>Unifamiliar: 20% de enganche mas 12 mensualidades de $20.000,00 mas escritura</t>
  </si>
  <si>
    <t>Macrolotes: 20% de enganche mas 12 mensualidades de $200.000,00 mas escrituras</t>
  </si>
  <si>
    <t>30% de enganche mas 70% de la escritura y 10% de enganche mas 90% de la escritura</t>
  </si>
  <si>
    <t>30% de enganche mas 70% de la escritura</t>
  </si>
  <si>
    <t xml:space="preserve">30% de enganche mas 70% a la escritura  O  10% de enganche mas 90% a la escritura </t>
  </si>
  <si>
    <t xml:space="preserve">48 mensualidades desde $6.937,63 con saldo contra entrega del 30% para garantizar la tranquilidad </t>
  </si>
  <si>
    <t>Enganche del 15%, 50% a 60 meses y enganche a 35% pronosticado a entregar en deiciembre 2028</t>
  </si>
  <si>
    <t>10% de enganche 90% a escritura</t>
  </si>
  <si>
    <t>10% de enganche mas 90% a la forma de las escrituras</t>
  </si>
  <si>
    <t>10% de enganche</t>
  </si>
  <si>
    <t xml:space="preserve">5% de enganche y el resto liquídalo a crédito </t>
  </si>
  <si>
    <t>5% de enganche al inicio o 5% de enganche diferidos en 12 meses</t>
  </si>
  <si>
    <t xml:space="preserve">80% el valor de la firma del contrato y el resto a la firma de escritura con 7% descuento </t>
  </si>
  <si>
    <t xml:space="preserve">50% de enganche mas 30% de financiamiento y el resto a la escritura O  20% enganche mas 20% en el mes 12 y 18 mas 20% escritura </t>
  </si>
  <si>
    <t xml:space="preserve">O enganche del 25% mas 25% de financiamiento en el mes 12 y resto a 50% a la firma de escritura </t>
  </si>
  <si>
    <t xml:space="preserve">8% de descuento al pagar al contada </t>
  </si>
  <si>
    <t xml:space="preserve">30% de enganche y 70% a escritura </t>
  </si>
  <si>
    <t xml:space="preserve">10% de enganche y 90% a escritura </t>
  </si>
  <si>
    <t xml:space="preserve">Enganche 20% mas 30% financiamiento VEQ mas 50% pago contra entrega </t>
  </si>
  <si>
    <t>30%  -  A la firma del contrato de compra venta
20%  -  30 días después de la firma del contrato
20%  -  60 días después de la firma del contrato
20%  -  90 días después de la firma del contrato
10%  -  Pago a la entrega del condominio</t>
  </si>
  <si>
    <t>35%  -  A la firma del contrato de compra venta
55%  -  Durante el periodo de construcción sin interés
10%  -  Pago a la entrega del condominio</t>
  </si>
  <si>
    <t xml:space="preserve"> 25%  -  A la firma del contrato de compra venta
25%  -  Durante el periodo de construcción sin interés
50%  -  Pago a la entrega del condominio</t>
  </si>
  <si>
    <t xml:space="preserve">10% enganche -20% obra -70% entrega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</si>
</sst>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d&quot; de &quot;mmmm"/>
    <numFmt numFmtId="166" formatCode="dd&quot; DE &quot;mmmm yyyy"/>
    <numFmt numFmtId="167" formatCode="dd&quot; de &quot;mmmm"/>
    <numFmt numFmtId="168" formatCode="yyyy.m"/>
  </numFmts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Arial"/>
    </font>
    <font>
      <b/>
      <sz val="14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b/>
      <sz val="12.0"/>
      <color rgb="FF000000"/>
      <name val="Arial"/>
    </font>
    <font>
      <color theme="1"/>
      <name val="Arial"/>
      <scheme val="minor"/>
    </font>
    <font>
      <sz val="10.0"/>
      <color rgb="FF111111"/>
      <name val="Arial"/>
      <scheme val="minor"/>
    </font>
    <font>
      <sz val="10.0"/>
      <color rgb="FF000000"/>
      <name val="Roboto"/>
    </font>
    <font>
      <sz val="10.0"/>
      <color rgb="FF111111"/>
      <name val="Arial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sz val="11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  <font>
      <color rgb="FFFFFFFF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9F9F9"/>
        <bgColor rgb="FFF9F9F9"/>
      </patternFill>
    </fill>
    <fill>
      <patternFill patternType="solid">
        <fgColor rgb="FF980000"/>
        <bgColor rgb="FF980000"/>
      </patternFill>
    </fill>
    <fill>
      <patternFill patternType="solid">
        <fgColor rgb="FF203764"/>
        <bgColor rgb="FF203764"/>
      </patternFill>
    </fill>
    <fill>
      <patternFill patternType="solid">
        <fgColor rgb="FFCC4125"/>
        <bgColor rgb="FFCC4125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  <xf borderId="0" fillId="0" fontId="5" numFmtId="0" xfId="0" applyFont="1"/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7" numFmtId="0" xfId="0" applyBorder="1" applyFont="1"/>
    <xf borderId="1" fillId="0" fontId="7" numFmtId="0" xfId="0" applyAlignment="1" applyBorder="1" applyFont="1">
      <alignment horizontal="center" readingOrder="0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7" numFmtId="164" xfId="0" applyAlignment="1" applyBorder="1" applyFont="1" applyNumberFormat="1">
      <alignment horizontal="center"/>
    </xf>
    <xf borderId="1" fillId="0" fontId="7" numFmtId="165" xfId="0" applyBorder="1" applyFont="1" applyNumberFormat="1"/>
    <xf borderId="1" fillId="2" fontId="7" numFmtId="0" xfId="0" applyAlignment="1" applyBorder="1" applyFill="1" applyFont="1">
      <alignment horizontal="center" readingOrder="0"/>
    </xf>
    <xf borderId="1" fillId="2" fontId="7" numFmtId="164" xfId="0" applyAlignment="1" applyBorder="1" applyFont="1" applyNumberFormat="1">
      <alignment horizontal="center" readingOrder="0"/>
    </xf>
    <xf borderId="1" fillId="2" fontId="7" numFmtId="9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readingOrder="0"/>
    </xf>
    <xf borderId="1" fillId="2" fontId="7" numFmtId="166" xfId="0" applyAlignment="1" applyBorder="1" applyFont="1" applyNumberFormat="1">
      <alignment readingOrder="0"/>
    </xf>
    <xf borderId="0" fillId="0" fontId="7" numFmtId="166" xfId="0" applyAlignment="1" applyFont="1" applyNumberFormat="1">
      <alignment readingOrder="0"/>
    </xf>
    <xf borderId="1" fillId="0" fontId="7" numFmtId="164" xfId="0" applyBorder="1" applyFont="1" applyNumberFormat="1"/>
    <xf borderId="1" fillId="0" fontId="7" numFmtId="9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1" fillId="0" fontId="7" numFmtId="165" xfId="0" applyAlignment="1" applyBorder="1" applyFont="1" applyNumberFormat="1">
      <alignment readingOrder="0"/>
    </xf>
    <xf borderId="0" fillId="0" fontId="7" numFmtId="165" xfId="0" applyAlignment="1" applyFont="1" applyNumberFormat="1">
      <alignment readingOrder="0"/>
    </xf>
    <xf borderId="1" fillId="0" fontId="7" numFmtId="0" xfId="0" applyAlignment="1" applyBorder="1" applyFont="1">
      <alignment horizontal="right" readingOrder="0"/>
    </xf>
    <xf borderId="1" fillId="0" fontId="7" numFmtId="164" xfId="0" applyAlignment="1" applyBorder="1" applyFont="1" applyNumberFormat="1">
      <alignment horizontal="right" readingOrder="0"/>
    </xf>
    <xf borderId="1" fillId="3" fontId="7" numFmtId="0" xfId="0" applyAlignment="1" applyBorder="1" applyFill="1" applyFont="1">
      <alignment readingOrder="0"/>
    </xf>
    <xf borderId="1" fillId="3" fontId="7" numFmtId="0" xfId="0" applyAlignment="1" applyBorder="1" applyFont="1">
      <alignment horizontal="right" readingOrder="0"/>
    </xf>
    <xf borderId="1" fillId="3" fontId="7" numFmtId="164" xfId="0" applyAlignment="1" applyBorder="1" applyFont="1" applyNumberFormat="1">
      <alignment horizontal="right" readingOrder="0"/>
    </xf>
    <xf borderId="3" fillId="2" fontId="7" numFmtId="164" xfId="0" applyBorder="1" applyFont="1" applyNumberFormat="1"/>
    <xf borderId="1" fillId="2" fontId="7" numFmtId="0" xfId="0" applyBorder="1" applyFont="1"/>
    <xf borderId="1" fillId="2" fontId="7" numFmtId="0" xfId="0" applyAlignment="1" applyBorder="1" applyFont="1">
      <alignment horizontal="center"/>
    </xf>
    <xf borderId="1" fillId="2" fontId="7" numFmtId="164" xfId="0" applyBorder="1" applyFont="1" applyNumberFormat="1"/>
    <xf borderId="1" fillId="0" fontId="7" numFmtId="167" xfId="0" applyAlignment="1" applyBorder="1" applyFont="1" applyNumberFormat="1">
      <alignment readingOrder="0"/>
    </xf>
    <xf borderId="0" fillId="0" fontId="7" numFmtId="167" xfId="0" applyAlignment="1" applyFont="1" applyNumberFormat="1">
      <alignment readingOrder="0"/>
    </xf>
    <xf borderId="1" fillId="0" fontId="7" numFmtId="3" xfId="0" applyAlignment="1" applyBorder="1" applyFont="1" applyNumberFormat="1">
      <alignment horizontal="right" readingOrder="0"/>
    </xf>
    <xf borderId="0" fillId="4" fontId="7" numFmtId="0" xfId="0" applyFill="1" applyFont="1"/>
    <xf borderId="1" fillId="4" fontId="7" numFmtId="0" xfId="0" applyAlignment="1" applyBorder="1" applyFont="1">
      <alignment readingOrder="0"/>
    </xf>
    <xf borderId="1" fillId="4" fontId="7" numFmtId="0" xfId="0" applyAlignment="1" applyBorder="1" applyFont="1">
      <alignment horizontal="right" readingOrder="0"/>
    </xf>
    <xf borderId="1" fillId="4" fontId="7" numFmtId="164" xfId="0" applyAlignment="1" applyBorder="1" applyFont="1" applyNumberFormat="1">
      <alignment readingOrder="0"/>
    </xf>
    <xf borderId="1" fillId="4" fontId="7" numFmtId="164" xfId="0" applyBorder="1" applyFont="1" applyNumberFormat="1"/>
    <xf borderId="1" fillId="4" fontId="7" numFmtId="0" xfId="0" applyBorder="1" applyFont="1"/>
    <xf borderId="1" fillId="5" fontId="7" numFmtId="0" xfId="0" applyBorder="1" applyFill="1" applyFont="1"/>
    <xf borderId="1" fillId="5" fontId="7" numFmtId="0" xfId="0" applyAlignment="1" applyBorder="1" applyFont="1">
      <alignment readingOrder="0"/>
    </xf>
    <xf borderId="1" fillId="5" fontId="7" numFmtId="164" xfId="0" applyBorder="1" applyFont="1" applyNumberFormat="1"/>
    <xf borderId="1" fillId="5" fontId="7" numFmtId="9" xfId="0" applyAlignment="1" applyBorder="1" applyFont="1" applyNumberFormat="1">
      <alignment readingOrder="0"/>
    </xf>
    <xf borderId="1" fillId="5" fontId="7" numFmtId="164" xfId="0" applyAlignment="1" applyBorder="1" applyFont="1" applyNumberFormat="1">
      <alignment readingOrder="0"/>
    </xf>
    <xf borderId="1" fillId="5" fontId="7" numFmtId="9" xfId="0" applyAlignment="1" applyBorder="1" applyFont="1" applyNumberFormat="1">
      <alignment horizontal="right" readingOrder="0"/>
    </xf>
    <xf borderId="1" fillId="4" fontId="7" numFmtId="168" xfId="0" applyAlignment="1" applyBorder="1" applyFont="1" applyNumberFormat="1">
      <alignment horizontal="right" readingOrder="0"/>
    </xf>
    <xf borderId="0" fillId="4" fontId="7" numFmtId="0" xfId="0" applyAlignment="1" applyFont="1">
      <alignment readingOrder="0"/>
    </xf>
    <xf borderId="1" fillId="6" fontId="8" numFmtId="0" xfId="0" applyAlignment="1" applyBorder="1" applyFill="1" applyFont="1">
      <alignment readingOrder="0"/>
    </xf>
    <xf borderId="1" fillId="0" fontId="7" numFmtId="168" xfId="0" applyAlignment="1" applyBorder="1" applyFont="1" applyNumberFormat="1">
      <alignment horizontal="right" readingOrder="0"/>
    </xf>
    <xf borderId="0" fillId="4" fontId="9" numFmtId="0" xfId="0" applyAlignment="1" applyFont="1">
      <alignment horizontal="left" readingOrder="0"/>
    </xf>
    <xf borderId="1" fillId="4" fontId="10" numFmtId="0" xfId="0" applyAlignment="1" applyBorder="1" applyFont="1">
      <alignment horizontal="right" readingOrder="0"/>
    </xf>
    <xf borderId="1" fillId="0" fontId="11" numFmtId="0" xfId="0" applyAlignment="1" applyBorder="1" applyFont="1">
      <alignment horizontal="left" readingOrder="0"/>
    </xf>
    <xf borderId="1" fillId="0" fontId="12" numFmtId="164" xfId="0" applyAlignment="1" applyBorder="1" applyFont="1" applyNumberFormat="1">
      <alignment readingOrder="0"/>
    </xf>
    <xf borderId="0" fillId="0" fontId="13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0" fontId="13" numFmtId="164" xfId="0" applyAlignment="1" applyBorder="1" applyFont="1" applyNumberForma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1" fillId="2" fontId="13" numFmtId="164" xfId="0" applyAlignment="1" applyBorder="1" applyFont="1" applyNumberFormat="1">
      <alignment readingOrder="0" vertical="bottom"/>
    </xf>
    <xf borderId="1" fillId="0" fontId="14" numFmtId="164" xfId="0" applyBorder="1" applyFont="1" applyNumberFormat="1"/>
    <xf borderId="1" fillId="2" fontId="7" numFmtId="0" xfId="0" applyAlignment="1" applyBorder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0" xfId="0" applyFont="1"/>
    <xf borderId="1" fillId="0" fontId="0" numFmtId="164" xfId="0" applyAlignment="1" applyBorder="1" applyFont="1" applyNumberFormat="1">
      <alignment horizontal="right" readingOrder="0"/>
    </xf>
    <xf borderId="1" fillId="3" fontId="7" numFmtId="164" xfId="0" applyAlignment="1" applyBorder="1" applyFont="1" applyNumberFormat="1">
      <alignment readingOrder="0"/>
    </xf>
    <xf borderId="1" fillId="3" fontId="15" numFmtId="0" xfId="0" applyAlignment="1" applyBorder="1" applyFont="1">
      <alignment readingOrder="0"/>
    </xf>
    <xf borderId="1" fillId="7" fontId="16" numFmtId="0" xfId="0" applyAlignment="1" applyBorder="1" applyFill="1" applyFont="1">
      <alignment readingOrder="0"/>
    </xf>
    <xf borderId="1" fillId="7" fontId="7" numFmtId="0" xfId="0" applyAlignment="1" applyBorder="1" applyFont="1">
      <alignment readingOrder="0"/>
    </xf>
    <xf borderId="1" fillId="7" fontId="7" numFmtId="0" xfId="0" applyAlignment="1" applyBorder="1" applyFont="1">
      <alignment horizontal="right" readingOrder="0"/>
    </xf>
    <xf borderId="1" fillId="7" fontId="7" numFmtId="164" xfId="0" applyAlignment="1" applyBorder="1" applyFont="1" applyNumberFormat="1">
      <alignment readingOrder="0"/>
    </xf>
    <xf borderId="0" fillId="0" fontId="7" numFmtId="0" xfId="0" applyAlignment="1" applyFont="1">
      <alignment horizontal="right"/>
    </xf>
    <xf borderId="1" fillId="0" fontId="17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right"/>
    </xf>
    <xf borderId="1" fillId="0" fontId="15" numFmtId="0" xfId="0" applyAlignment="1" applyBorder="1" applyFont="1">
      <alignment readingOrder="0"/>
    </xf>
    <xf borderId="1" fillId="0" fontId="13" numFmtId="0" xfId="0" applyAlignment="1" applyBorder="1" applyFont="1">
      <alignment readingOrder="0" vertical="bottom"/>
    </xf>
    <xf borderId="0" fillId="2" fontId="7" numFmtId="164" xfId="0" applyFont="1" applyNumberFormat="1"/>
    <xf borderId="1" fillId="8" fontId="18" numFmtId="0" xfId="0" applyAlignment="1" applyBorder="1" applyFill="1" applyFont="1">
      <alignment horizontal="center" readingOrder="0" shrinkToFit="0" vertical="bottom" wrapText="0"/>
    </xf>
    <xf borderId="1" fillId="8" fontId="16" numFmtId="0" xfId="0" applyAlignment="1" applyBorder="1" applyFont="1">
      <alignment readingOrder="0"/>
    </xf>
    <xf borderId="1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left" readingOrder="0" shrinkToFit="0" wrapText="0"/>
    </xf>
    <xf borderId="1" fillId="0" fontId="19" numFmtId="164" xfId="0" applyAlignment="1" applyBorder="1" applyFont="1" applyNumberFormat="1">
      <alignment horizontal="center" readingOrder="0" shrinkToFit="0" wrapText="0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 vertical="bottom"/>
    </xf>
    <xf borderId="1" fillId="0" fontId="19" numFmtId="0" xfId="0" applyAlignment="1" applyBorder="1" applyFont="1">
      <alignment readingOrder="0" shrinkToFit="0" vertical="bottom" wrapText="0"/>
    </xf>
    <xf borderId="1" fillId="0" fontId="7" numFmtId="10" xfId="0" applyAlignment="1" applyBorder="1" applyFont="1" applyNumberFormat="1">
      <alignment horizontal="right" readingOrder="0"/>
    </xf>
    <xf borderId="1" fillId="0" fontId="19" numFmtId="0" xfId="0" applyAlignment="1" applyBorder="1" applyFont="1">
      <alignment horizontal="center" shrinkToFit="0" vertical="bottom" wrapText="0"/>
    </xf>
    <xf borderId="1" fillId="0" fontId="19" numFmtId="0" xfId="0" applyAlignment="1" applyBorder="1" applyFont="1">
      <alignment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shrinkToFit="0" vertical="bottom" wrapText="0"/>
    </xf>
    <xf borderId="1" fillId="8" fontId="18" numFmtId="0" xfId="0" applyAlignment="1" applyBorder="1" applyFont="1">
      <alignment readingOrder="0" shrinkToFit="0" vertical="bottom" wrapText="0"/>
    </xf>
    <xf borderId="1" fillId="0" fontId="19" numFmtId="164" xfId="0" applyAlignment="1" applyBorder="1" applyFont="1" applyNumberFormat="1">
      <alignment readingOrder="0" shrinkToFit="0" vertical="bottom" wrapText="0"/>
    </xf>
    <xf borderId="1" fillId="4" fontId="13" numFmtId="0" xfId="0" applyAlignment="1" applyBorder="1" applyFont="1">
      <alignment horizontal="right" vertical="bottom"/>
    </xf>
    <xf borderId="1" fillId="4" fontId="13" numFmtId="0" xfId="0" applyAlignment="1" applyBorder="1" applyFont="1">
      <alignment vertical="bottom"/>
    </xf>
    <xf borderId="1" fillId="4" fontId="13" numFmtId="0" xfId="0" applyAlignment="1" applyBorder="1" applyFont="1">
      <alignment readingOrder="0" vertical="bottom"/>
    </xf>
    <xf borderId="0" fillId="4" fontId="13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3" fontId="13" numFmtId="0" xfId="0" applyAlignment="1" applyBorder="1" applyFont="1">
      <alignment readingOrder="0" vertical="bottom"/>
    </xf>
    <xf borderId="1" fillId="3" fontId="13" numFmtId="0" xfId="0" applyAlignment="1" applyBorder="1" applyFont="1">
      <alignment vertical="bottom"/>
    </xf>
    <xf borderId="1" fillId="9" fontId="20" numFmtId="0" xfId="0" applyAlignment="1" applyBorder="1" applyFill="1" applyFont="1">
      <alignment readingOrder="0" vertical="bottom"/>
    </xf>
    <xf borderId="1" fillId="9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horizontal="center" readingOrder="0"/>
    </xf>
    <xf borderId="5" fillId="0" fontId="21" numFmtId="0" xfId="0" applyBorder="1" applyFont="1"/>
    <xf borderId="6" fillId="0" fontId="21" numFmtId="0" xfId="0" applyBorder="1" applyFont="1"/>
    <xf borderId="0" fillId="0" fontId="7" numFmtId="0" xfId="0" applyAlignment="1" applyFont="1">
      <alignment horizontal="center"/>
    </xf>
    <xf borderId="3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readingOrder="0"/>
    </xf>
    <xf borderId="9" fillId="0" fontId="21" numFmtId="0" xfId="0" applyBorder="1" applyFont="1"/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10" fillId="0" fontId="21" numFmtId="0" xfId="0" applyBorder="1" applyFont="1"/>
    <xf borderId="1" fillId="5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24050" cy="1419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3" t="s">
        <v>0</v>
      </c>
      <c r="B8" s="1"/>
      <c r="C8" s="1"/>
      <c r="D8" s="1"/>
      <c r="E8" s="1"/>
      <c r="F8" s="1"/>
      <c r="G8" s="1"/>
      <c r="H8" s="1"/>
      <c r="I8" s="1"/>
    </row>
    <row r="9">
      <c r="A9" s="4"/>
      <c r="B9" s="5"/>
      <c r="C9" s="5"/>
      <c r="D9" s="5"/>
      <c r="E9" s="5"/>
      <c r="F9" s="1"/>
      <c r="G9" s="1"/>
      <c r="H9" s="1"/>
      <c r="I9" s="1"/>
    </row>
    <row r="10">
      <c r="A10" s="6" t="s">
        <v>1</v>
      </c>
      <c r="B10" s="1"/>
      <c r="C10" s="1"/>
      <c r="D10" s="1"/>
      <c r="E10" s="1"/>
      <c r="F10" s="1"/>
      <c r="G10" s="1"/>
      <c r="H10" s="1"/>
      <c r="I10" s="1"/>
    </row>
    <row r="11">
      <c r="A11" s="6" t="s">
        <v>2</v>
      </c>
      <c r="B11" s="1"/>
      <c r="C11" s="1"/>
      <c r="D11" s="1"/>
      <c r="E11" s="1"/>
      <c r="F11" s="1"/>
      <c r="G11" s="1"/>
      <c r="H11" s="1"/>
      <c r="I11" s="1"/>
    </row>
    <row r="12">
      <c r="A12" s="7"/>
      <c r="B12" s="1"/>
      <c r="C12" s="1"/>
      <c r="D12" s="1"/>
      <c r="E12" s="1"/>
      <c r="F12" s="1"/>
      <c r="G12" s="1"/>
      <c r="H12" s="1"/>
      <c r="I12" s="1"/>
    </row>
    <row r="13">
      <c r="A13" s="8" t="s">
        <v>3</v>
      </c>
      <c r="B13" s="1"/>
      <c r="C13" s="1"/>
      <c r="D13" s="1"/>
      <c r="E13" s="1"/>
      <c r="F13" s="1"/>
      <c r="G13" s="1"/>
      <c r="H13" s="1"/>
      <c r="I13" s="1"/>
    </row>
    <row r="14">
      <c r="A14" s="6" t="s">
        <v>4</v>
      </c>
      <c r="B14" s="1"/>
      <c r="C14" s="1"/>
      <c r="D14" s="1"/>
      <c r="E14" s="1"/>
      <c r="F14" s="1"/>
      <c r="G14" s="1"/>
      <c r="H14" s="1"/>
      <c r="I14" s="1"/>
    </row>
    <row r="15">
      <c r="A15" s="6" t="s">
        <v>5</v>
      </c>
      <c r="B15" s="1"/>
      <c r="C15" s="1"/>
      <c r="D15" s="1"/>
      <c r="E15" s="1"/>
      <c r="F15" s="1"/>
      <c r="G15" s="1"/>
      <c r="H15" s="1"/>
      <c r="I15" s="1"/>
    </row>
    <row r="16">
      <c r="A16" s="6" t="s">
        <v>6</v>
      </c>
      <c r="B16" s="1"/>
      <c r="C16" s="1"/>
      <c r="D16" s="1"/>
      <c r="E16" s="1"/>
      <c r="F16" s="1"/>
      <c r="G16" s="1"/>
      <c r="H16" s="1"/>
      <c r="I16" s="1"/>
      <c r="K16" s="9"/>
    </row>
    <row r="17">
      <c r="A17" s="6" t="s">
        <v>7</v>
      </c>
      <c r="B17" s="1"/>
      <c r="C17" s="1"/>
      <c r="D17" s="1"/>
      <c r="E17" s="1"/>
      <c r="F17" s="1"/>
      <c r="G17" s="1"/>
      <c r="H17" s="1"/>
      <c r="I17" s="1"/>
    </row>
    <row r="18">
      <c r="A18" s="6" t="s">
        <v>8</v>
      </c>
      <c r="B18" s="1"/>
      <c r="C18" s="1"/>
      <c r="D18" s="1"/>
      <c r="E18" s="1"/>
      <c r="F18" s="1"/>
      <c r="G18" s="1"/>
      <c r="H18" s="1"/>
      <c r="I18" s="1"/>
    </row>
    <row r="19">
      <c r="A19" s="6" t="s">
        <v>9</v>
      </c>
      <c r="B19" s="1"/>
      <c r="C19" s="1"/>
      <c r="D19" s="1"/>
      <c r="E19" s="1"/>
      <c r="F19" s="1"/>
      <c r="G19" s="1"/>
      <c r="H19" s="1"/>
      <c r="I19" s="1"/>
    </row>
    <row r="20">
      <c r="A20" s="6" t="s">
        <v>10</v>
      </c>
      <c r="B20" s="1"/>
      <c r="C20" s="1"/>
      <c r="D20" s="1"/>
      <c r="E20" s="1"/>
      <c r="F20" s="1"/>
      <c r="G20" s="1"/>
      <c r="H20" s="1"/>
      <c r="I20" s="1"/>
      <c r="J20" s="10"/>
    </row>
    <row r="21">
      <c r="A21" s="6"/>
      <c r="B21" s="1"/>
      <c r="C21" s="1"/>
      <c r="D21" s="1"/>
      <c r="E21" s="1"/>
      <c r="F21" s="1"/>
      <c r="G21" s="1"/>
      <c r="H21" s="1"/>
      <c r="I21" s="1"/>
    </row>
    <row r="22">
      <c r="A22" s="8" t="s">
        <v>11</v>
      </c>
      <c r="B22" s="1"/>
      <c r="C22" s="1"/>
      <c r="D22" s="1"/>
      <c r="E22" s="1"/>
      <c r="F22" s="1"/>
      <c r="G22" s="1"/>
      <c r="H22" s="1"/>
      <c r="I22" s="1"/>
    </row>
    <row r="23">
      <c r="A23" s="6" t="s">
        <v>12</v>
      </c>
      <c r="B23" s="1"/>
      <c r="C23" s="1"/>
      <c r="D23" s="1"/>
      <c r="E23" s="1"/>
      <c r="F23" s="1"/>
      <c r="G23" s="1"/>
      <c r="H23" s="1"/>
      <c r="I23" s="1"/>
    </row>
    <row r="24">
      <c r="A24" s="6" t="s">
        <v>13</v>
      </c>
      <c r="B24" s="1"/>
      <c r="C24" s="1"/>
      <c r="D24" s="1"/>
      <c r="E24" s="1"/>
      <c r="F24" s="1"/>
      <c r="G24" s="1"/>
      <c r="H24" s="1"/>
      <c r="I24" s="1"/>
    </row>
    <row r="25">
      <c r="A25" s="6" t="s">
        <v>14</v>
      </c>
      <c r="B25" s="1"/>
      <c r="C25" s="1"/>
      <c r="D25" s="1"/>
      <c r="E25" s="1"/>
      <c r="F25" s="1"/>
      <c r="G25" s="1"/>
      <c r="H25" s="1"/>
      <c r="I25" s="1"/>
    </row>
    <row r="26">
      <c r="A26" s="6" t="s">
        <v>15</v>
      </c>
      <c r="B26" s="1"/>
      <c r="C26" s="1"/>
      <c r="D26" s="1"/>
      <c r="E26" s="1"/>
      <c r="F26" s="1"/>
      <c r="G26" s="1"/>
      <c r="H26" s="1"/>
      <c r="I26" s="1"/>
    </row>
    <row r="27">
      <c r="A27" s="6" t="s">
        <v>16</v>
      </c>
      <c r="B27" s="1"/>
      <c r="C27" s="1"/>
      <c r="D27" s="1"/>
      <c r="E27" s="1"/>
      <c r="F27" s="1"/>
      <c r="G27" s="1"/>
      <c r="H27" s="1"/>
      <c r="I27" s="1"/>
    </row>
    <row r="28">
      <c r="A28" s="6" t="s">
        <v>17</v>
      </c>
      <c r="B28" s="1"/>
      <c r="C28" s="1"/>
      <c r="D28" s="1"/>
      <c r="E28" s="1"/>
      <c r="F28" s="1"/>
      <c r="G28" s="1"/>
      <c r="H28" s="1"/>
      <c r="I28" s="1"/>
    </row>
    <row r="29">
      <c r="A29" s="6" t="s">
        <v>18</v>
      </c>
      <c r="B29" s="1"/>
      <c r="C29" s="1"/>
      <c r="D29" s="1"/>
      <c r="E29" s="1"/>
      <c r="F29" s="1"/>
      <c r="G29" s="1"/>
      <c r="H29" s="1"/>
      <c r="I29" s="1"/>
    </row>
    <row r="30">
      <c r="A30" s="6" t="s">
        <v>19</v>
      </c>
      <c r="B30" s="1"/>
      <c r="C30" s="1"/>
      <c r="D30" s="1"/>
      <c r="E30" s="1"/>
      <c r="F30" s="1"/>
      <c r="G30" s="1"/>
      <c r="H30" s="1"/>
      <c r="I30" s="1"/>
    </row>
    <row r="31">
      <c r="A31" s="6" t="s">
        <v>20</v>
      </c>
      <c r="B31" s="1"/>
      <c r="C31" s="1"/>
      <c r="D31" s="1"/>
      <c r="E31" s="1"/>
      <c r="F31" s="1"/>
      <c r="G31" s="1"/>
      <c r="H31" s="1"/>
      <c r="I31" s="1"/>
    </row>
    <row r="32">
      <c r="A32" s="6" t="s">
        <v>21</v>
      </c>
      <c r="B32" s="1"/>
      <c r="C32" s="1"/>
      <c r="D32" s="1"/>
      <c r="E32" s="1"/>
      <c r="F32" s="1"/>
      <c r="G32" s="1"/>
      <c r="H32" s="1"/>
      <c r="I32" s="1"/>
    </row>
    <row r="33">
      <c r="A33" s="6" t="s">
        <v>22</v>
      </c>
      <c r="B33" s="1"/>
      <c r="C33" s="1"/>
      <c r="D33" s="1"/>
      <c r="E33" s="1"/>
      <c r="F33" s="1"/>
      <c r="G33" s="1"/>
      <c r="H33" s="1"/>
      <c r="I33" s="1"/>
    </row>
    <row r="34">
      <c r="A34" s="6" t="s">
        <v>23</v>
      </c>
      <c r="B34" s="1"/>
      <c r="C34" s="1"/>
      <c r="D34" s="1"/>
      <c r="E34" s="1"/>
      <c r="F34" s="1"/>
      <c r="G34" s="1"/>
      <c r="H34" s="1"/>
      <c r="I34" s="1"/>
    </row>
    <row r="35">
      <c r="A35" s="6" t="s">
        <v>24</v>
      </c>
    </row>
    <row r="36">
      <c r="A36" s="6"/>
    </row>
    <row r="37">
      <c r="A37" s="8" t="s">
        <v>25</v>
      </c>
    </row>
    <row r="38">
      <c r="A38" s="6" t="s">
        <v>26</v>
      </c>
    </row>
    <row r="39">
      <c r="A39" s="6" t="s">
        <v>27</v>
      </c>
    </row>
    <row r="40">
      <c r="A40" s="6" t="s">
        <v>28</v>
      </c>
    </row>
    <row r="41">
      <c r="A41" s="6" t="s">
        <v>29</v>
      </c>
    </row>
    <row r="42">
      <c r="A42" s="6" t="s">
        <v>30</v>
      </c>
    </row>
    <row r="43">
      <c r="A43" s="11"/>
    </row>
    <row r="44">
      <c r="A44" s="8" t="s">
        <v>31</v>
      </c>
    </row>
    <row r="45">
      <c r="A45" s="6" t="s">
        <v>32</v>
      </c>
    </row>
    <row r="46">
      <c r="A46" s="6" t="s">
        <v>33</v>
      </c>
    </row>
    <row r="47">
      <c r="A47" s="6" t="s">
        <v>34</v>
      </c>
    </row>
    <row r="49">
      <c r="A49" s="8" t="s">
        <v>35</v>
      </c>
    </row>
    <row r="50">
      <c r="A50" s="6" t="s">
        <v>36</v>
      </c>
    </row>
    <row r="51">
      <c r="A51" s="6" t="s">
        <v>37</v>
      </c>
    </row>
    <row r="52">
      <c r="A52" s="6" t="s">
        <v>38</v>
      </c>
    </row>
    <row r="53">
      <c r="A53" s="6" t="s">
        <v>39</v>
      </c>
    </row>
    <row r="54">
      <c r="A54" s="6" t="s">
        <v>40</v>
      </c>
    </row>
    <row r="55">
      <c r="A55" s="6" t="s">
        <v>41</v>
      </c>
    </row>
    <row r="56">
      <c r="A56" s="6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75"/>
    <col customWidth="1" min="4" max="4" width="22.0"/>
    <col customWidth="1" hidden="1" min="5" max="5" width="22.63"/>
    <col customWidth="1" hidden="1" min="6" max="6" width="15.63"/>
    <col customWidth="1" min="7" max="7" width="16.75"/>
    <col customWidth="1" min="8" max="8" width="12.38"/>
    <col customWidth="1" min="9" max="9" width="12.13"/>
    <col customWidth="1" hidden="1" min="10" max="10" width="18.88"/>
    <col customWidth="1" min="11" max="11" width="22.75"/>
    <col customWidth="1" hidden="1" min="12" max="12" width="21.5"/>
    <col customWidth="1" min="13" max="13" width="22.0"/>
  </cols>
  <sheetData>
    <row r="2">
      <c r="A2" s="12"/>
      <c r="B2" s="12"/>
      <c r="C2" s="12"/>
      <c r="D2" s="12"/>
      <c r="E2" s="12"/>
      <c r="F2" s="12"/>
      <c r="G2" s="12"/>
      <c r="H2" s="12"/>
    </row>
    <row r="3">
      <c r="A3" s="13" t="s">
        <v>43</v>
      </c>
      <c r="B3" s="13" t="s">
        <v>44</v>
      </c>
      <c r="C3" s="14"/>
      <c r="D3" s="15"/>
      <c r="E3" s="15"/>
      <c r="F3" s="15"/>
      <c r="G3" s="15"/>
      <c r="H3" s="15"/>
      <c r="I3" s="15"/>
      <c r="J3" s="15"/>
      <c r="K3" s="15"/>
      <c r="L3" s="15"/>
    </row>
    <row r="4">
      <c r="A4" s="16" t="s">
        <v>45</v>
      </c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3" t="s">
        <v>54</v>
      </c>
      <c r="K4" s="13" t="s">
        <v>55</v>
      </c>
      <c r="L4" s="13" t="s">
        <v>56</v>
      </c>
      <c r="M4" s="13" t="s">
        <v>57</v>
      </c>
    </row>
    <row r="5">
      <c r="A5" s="17" t="str">
        <f>IFERROR(__xludf.DUMMYFUNCTION("FILTER('Proyectos nacionales'!A:M,'Proyectos nacionales'!B:B=B3)"),"")</f>
        <v/>
      </c>
      <c r="B5" s="18" t="str">
        <f>IFERROR(__xludf.DUMMYFUNCTION("""COMPUTED_VALUE"""),"Paravian")</f>
        <v>Paravian</v>
      </c>
      <c r="C5" s="18">
        <f>IFERROR(__xludf.DUMMYFUNCTION("""COMPUTED_VALUE"""),84.0)</f>
        <v>84</v>
      </c>
      <c r="D5" s="18">
        <f>IFERROR(__xludf.DUMMYFUNCTION("""COMPUTED_VALUE"""),46.0)</f>
        <v>46</v>
      </c>
      <c r="E5" s="18" t="str">
        <f>IFERROR(__xludf.DUMMYFUNCTION("""COMPUTED_VALUE"""),"$3,438,232 - $7,186,800")</f>
        <v>$3,438,232 - $7,186,800</v>
      </c>
      <c r="F5" s="18" t="str">
        <f>IFERROR(__xludf.DUMMYFUNCTION("""COMPUTED_VALUE"""),"37.35 m2 - 86.80 m2")</f>
        <v>37.35 m2 - 86.80 m2</v>
      </c>
      <c r="G5" s="18">
        <f>IFERROR(__xludf.DUMMYFUNCTION("""COMPUTED_VALUE"""),38.0)</f>
        <v>38</v>
      </c>
      <c r="H5" s="18">
        <f>IFERROR(__xludf.DUMMYFUNCTION("""COMPUTED_VALUE"""),2.0)</f>
        <v>2</v>
      </c>
      <c r="I5" s="19">
        <f>IFERROR(__xludf.DUMMYFUNCTION("""COMPUTED_VALUE"""),6561698.8008)</f>
        <v>6561698.801</v>
      </c>
      <c r="J5" s="18"/>
      <c r="K5" s="19">
        <f>IFERROR(__xludf.DUMMYFUNCTION("""COMPUTED_VALUE"""),1968509.64024)</f>
        <v>1968509.64</v>
      </c>
      <c r="L5" s="19"/>
      <c r="M5" s="20">
        <f>IFERROR(__xludf.DUMMYFUNCTION("""COMPUTED_VALUE"""),46052.0)</f>
        <v>46052</v>
      </c>
    </row>
    <row r="10">
      <c r="F10" s="9"/>
    </row>
    <row r="11">
      <c r="D11" s="9"/>
      <c r="E11" s="9"/>
    </row>
    <row r="12">
      <c r="C12" s="9"/>
    </row>
    <row r="13">
      <c r="A13" s="9"/>
      <c r="B13" s="9"/>
      <c r="C13" s="9"/>
      <c r="D13" s="9"/>
      <c r="E13" s="9"/>
      <c r="F13" s="9"/>
    </row>
    <row r="19">
      <c r="A19" s="9"/>
    </row>
    <row r="26">
      <c r="B26" s="9"/>
      <c r="C26" s="9"/>
      <c r="D26" s="9"/>
      <c r="E26" s="9"/>
    </row>
  </sheetData>
  <dataValidations>
    <dataValidation type="list" allowBlank="1" showErrorMessage="1" sqref="B3">
      <formula1>'Proyectos nacionales'!$B$3:$B$72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0.88"/>
    <col customWidth="1" min="3" max="3" width="30.0"/>
    <col customWidth="1" min="4" max="4" width="23.5"/>
    <col customWidth="1" min="5" max="5" width="25.5"/>
    <col customWidth="1" min="6" max="8" width="23.5"/>
    <col customWidth="1" min="9" max="9" width="19.13"/>
    <col customWidth="1" min="11" max="11" width="20.75"/>
    <col customWidth="1" min="12" max="12" width="26.5"/>
    <col customWidth="1" min="13" max="13" width="22.5"/>
    <col customWidth="1" min="14" max="14" width="12.25"/>
    <col customWidth="1" min="15" max="15" width="22.0"/>
    <col customWidth="1" min="16" max="16" width="38.25"/>
    <col customWidth="1" min="18" max="18" width="15.88"/>
    <col customWidth="1" min="25" max="25" width="50.88"/>
    <col customWidth="1" min="27" max="27" width="20.0"/>
    <col customWidth="1" min="31" max="31" width="15.13"/>
    <col customWidth="1" min="32" max="32" width="33.5"/>
    <col customWidth="1" min="34" max="34" width="18.5"/>
  </cols>
  <sheetData>
    <row r="2">
      <c r="A2" s="16" t="s">
        <v>45</v>
      </c>
      <c r="B2" s="16" t="s">
        <v>46</v>
      </c>
      <c r="C2" s="16" t="s">
        <v>47</v>
      </c>
      <c r="D2" s="16" t="s">
        <v>48</v>
      </c>
      <c r="E2" s="16" t="s">
        <v>49</v>
      </c>
      <c r="F2" s="16" t="s">
        <v>50</v>
      </c>
      <c r="G2" s="16" t="s">
        <v>51</v>
      </c>
      <c r="H2" s="16" t="s">
        <v>52</v>
      </c>
      <c r="I2" s="16" t="s">
        <v>53</v>
      </c>
      <c r="J2" s="13" t="s">
        <v>54</v>
      </c>
      <c r="K2" s="13" t="s">
        <v>55</v>
      </c>
      <c r="L2" s="13" t="s">
        <v>56</v>
      </c>
      <c r="M2" s="13" t="s">
        <v>57</v>
      </c>
      <c r="O2" s="9"/>
      <c r="P2" s="9"/>
      <c r="Q2" s="9"/>
      <c r="R2" s="9"/>
    </row>
    <row r="3">
      <c r="A3" s="21"/>
      <c r="B3" s="21" t="s">
        <v>58</v>
      </c>
      <c r="C3" s="21"/>
      <c r="D3" s="21">
        <f>SUM(D4:D7)</f>
        <v>239</v>
      </c>
      <c r="E3" s="21"/>
      <c r="F3" s="21"/>
      <c r="G3" s="21">
        <f t="shared" ref="G3:I3" si="1">SUM(G4:G7)</f>
        <v>589</v>
      </c>
      <c r="H3" s="21">
        <f t="shared" si="1"/>
        <v>26</v>
      </c>
      <c r="I3" s="22">
        <f t="shared" si="1"/>
        <v>28315438.89</v>
      </c>
      <c r="J3" s="23">
        <v>0.06</v>
      </c>
      <c r="K3" s="24">
        <f>SUM(K4:K7)</f>
        <v>8494631.668</v>
      </c>
      <c r="L3" s="23">
        <v>0.3</v>
      </c>
      <c r="M3" s="25"/>
      <c r="N3" s="26"/>
      <c r="O3" s="9" t="s">
        <v>59</v>
      </c>
      <c r="X3" s="9" t="s">
        <v>60</v>
      </c>
      <c r="AE3" s="9" t="s">
        <v>61</v>
      </c>
    </row>
    <row r="4">
      <c r="A4" s="17"/>
      <c r="B4" s="13" t="s">
        <v>62</v>
      </c>
      <c r="C4" s="13">
        <v>279.0</v>
      </c>
      <c r="D4" s="13">
        <f>O5</f>
        <v>1</v>
      </c>
      <c r="E4" s="13" t="s">
        <v>63</v>
      </c>
      <c r="F4" s="13" t="s">
        <v>64</v>
      </c>
      <c r="G4" s="13">
        <f t="shared" ref="G4:G7" si="2">C4-D4</f>
        <v>278</v>
      </c>
      <c r="H4" s="13">
        <f>IF(C4&gt;D4,1,0)</f>
        <v>1</v>
      </c>
      <c r="I4" s="27">
        <f>R7*J3</f>
        <v>139357.98</v>
      </c>
      <c r="J4" s="28"/>
      <c r="K4" s="29">
        <f t="shared" ref="K4:K7" si="3">I4*$L$3</f>
        <v>41807.394</v>
      </c>
      <c r="L4" s="29"/>
      <c r="M4" s="30">
        <v>46085.0</v>
      </c>
      <c r="N4" s="31"/>
      <c r="O4" s="13" t="s">
        <v>45</v>
      </c>
      <c r="P4" s="13" t="s">
        <v>65</v>
      </c>
      <c r="Q4" s="13" t="s">
        <v>66</v>
      </c>
      <c r="R4" s="13" t="s">
        <v>67</v>
      </c>
      <c r="X4" s="13" t="s">
        <v>45</v>
      </c>
      <c r="Y4" s="13" t="s">
        <v>68</v>
      </c>
      <c r="Z4" s="13" t="s">
        <v>66</v>
      </c>
      <c r="AA4" s="13" t="s">
        <v>69</v>
      </c>
      <c r="AB4" s="17"/>
      <c r="AE4" s="13" t="s">
        <v>45</v>
      </c>
      <c r="AF4" s="13" t="s">
        <v>68</v>
      </c>
      <c r="AG4" s="13" t="s">
        <v>66</v>
      </c>
      <c r="AH4" s="13" t="s">
        <v>69</v>
      </c>
    </row>
    <row r="5">
      <c r="A5" s="17"/>
      <c r="B5" s="13" t="s">
        <v>70</v>
      </c>
      <c r="C5" s="13">
        <v>95.0</v>
      </c>
      <c r="D5" s="13">
        <f>SUM(O11:O14)</f>
        <v>3</v>
      </c>
      <c r="E5" s="13" t="s">
        <v>71</v>
      </c>
      <c r="F5" s="13" t="s">
        <v>72</v>
      </c>
      <c r="G5" s="13">
        <f t="shared" si="2"/>
        <v>92</v>
      </c>
      <c r="H5" s="13">
        <v>2.0</v>
      </c>
      <c r="I5" s="27">
        <f>R15*J3</f>
        <v>1313466.832</v>
      </c>
      <c r="J5" s="17"/>
      <c r="K5" s="29">
        <f t="shared" si="3"/>
        <v>394040.0495</v>
      </c>
      <c r="L5" s="27"/>
      <c r="M5" s="30">
        <v>46051.0</v>
      </c>
      <c r="N5" s="31"/>
      <c r="O5" s="13">
        <v>1.0</v>
      </c>
      <c r="P5" s="32" t="s">
        <v>73</v>
      </c>
      <c r="Q5" s="32" t="s">
        <v>74</v>
      </c>
      <c r="R5" s="33">
        <v>2322633.0</v>
      </c>
      <c r="X5" s="13">
        <v>1.0</v>
      </c>
      <c r="Y5" s="13" t="s">
        <v>75</v>
      </c>
      <c r="Z5" s="32" t="s">
        <v>76</v>
      </c>
      <c r="AA5" s="29">
        <v>3110335.8</v>
      </c>
      <c r="AB5" s="17"/>
      <c r="AE5" s="13">
        <v>1.0</v>
      </c>
      <c r="AF5" s="13" t="s">
        <v>77</v>
      </c>
      <c r="AG5" s="13">
        <v>63.0</v>
      </c>
      <c r="AH5" s="29">
        <v>2611112.0</v>
      </c>
    </row>
    <row r="6">
      <c r="A6" s="17"/>
      <c r="B6" s="13" t="s">
        <v>44</v>
      </c>
      <c r="C6" s="13">
        <v>84.0</v>
      </c>
      <c r="D6" s="13">
        <f>SUM(O18:O35)+SUM(AE387:AE391)</f>
        <v>46</v>
      </c>
      <c r="E6" s="13" t="s">
        <v>78</v>
      </c>
      <c r="F6" s="13" t="s">
        <v>79</v>
      </c>
      <c r="G6" s="13">
        <f t="shared" si="2"/>
        <v>38</v>
      </c>
      <c r="H6" s="13">
        <v>2.0</v>
      </c>
      <c r="I6" s="27">
        <f>R36*J3</f>
        <v>6561698.801</v>
      </c>
      <c r="J6" s="17"/>
      <c r="K6" s="29">
        <f t="shared" si="3"/>
        <v>1968509.64</v>
      </c>
      <c r="L6" s="27"/>
      <c r="M6" s="30">
        <v>46052.0</v>
      </c>
      <c r="N6" s="31"/>
      <c r="O6" s="34" t="s">
        <v>80</v>
      </c>
      <c r="P6" s="35" t="s">
        <v>81</v>
      </c>
      <c r="Q6" s="35">
        <v>330.0</v>
      </c>
      <c r="R6" s="36"/>
      <c r="X6" s="13">
        <v>2.0</v>
      </c>
      <c r="Y6" s="13" t="s">
        <v>82</v>
      </c>
      <c r="Z6" s="32" t="s">
        <v>83</v>
      </c>
      <c r="AA6" s="29">
        <v>1991834.0</v>
      </c>
      <c r="AB6" s="27">
        <f>AA6*X6</f>
        <v>3983668</v>
      </c>
      <c r="AE6" s="13">
        <v>1.0</v>
      </c>
      <c r="AF6" s="13" t="s">
        <v>84</v>
      </c>
      <c r="AG6" s="32">
        <v>64.0</v>
      </c>
      <c r="AH6" s="29">
        <v>2148561.0</v>
      </c>
    </row>
    <row r="7">
      <c r="A7" s="17"/>
      <c r="B7" s="13" t="s">
        <v>85</v>
      </c>
      <c r="C7" s="13">
        <v>370.0</v>
      </c>
      <c r="D7" s="13">
        <f>SUM(O39:O57)</f>
        <v>189</v>
      </c>
      <c r="E7" s="13" t="s">
        <v>86</v>
      </c>
      <c r="F7" s="13" t="s">
        <v>87</v>
      </c>
      <c r="G7" s="13">
        <f t="shared" si="2"/>
        <v>181</v>
      </c>
      <c r="H7" s="13">
        <v>21.0</v>
      </c>
      <c r="I7" s="27">
        <f>R58*J3</f>
        <v>20300915.28</v>
      </c>
      <c r="J7" s="17"/>
      <c r="K7" s="29">
        <f t="shared" si="3"/>
        <v>6090274.584</v>
      </c>
      <c r="L7" s="27"/>
      <c r="M7" s="30">
        <v>46066.0</v>
      </c>
      <c r="N7" s="31"/>
      <c r="R7" s="37">
        <f>SUM(R5:R6)</f>
        <v>2322633</v>
      </c>
      <c r="X7" s="13">
        <v>1.0</v>
      </c>
      <c r="Y7" s="13" t="s">
        <v>88</v>
      </c>
      <c r="Z7" s="32" t="s">
        <v>89</v>
      </c>
      <c r="AA7" s="29">
        <v>6553060.8</v>
      </c>
      <c r="AB7" s="17"/>
      <c r="AE7" s="13">
        <v>1.0</v>
      </c>
      <c r="AF7" s="13" t="s">
        <v>90</v>
      </c>
      <c r="AG7" s="13">
        <v>64.0</v>
      </c>
      <c r="AH7" s="29">
        <v>2398669.0</v>
      </c>
    </row>
    <row r="8">
      <c r="A8" s="38"/>
      <c r="B8" s="21" t="s">
        <v>91</v>
      </c>
      <c r="C8" s="21"/>
      <c r="D8" s="39">
        <f>SUM(D9:D16)</f>
        <v>152</v>
      </c>
      <c r="E8" s="39"/>
      <c r="F8" s="39"/>
      <c r="G8" s="39">
        <f t="shared" ref="G8:I8" si="4">SUM(G9:G16)</f>
        <v>233</v>
      </c>
      <c r="H8" s="39">
        <f t="shared" si="4"/>
        <v>34</v>
      </c>
      <c r="I8" s="40">
        <f t="shared" si="4"/>
        <v>27617315.39</v>
      </c>
      <c r="J8" s="23">
        <v>0.06</v>
      </c>
      <c r="K8" s="24">
        <f>SUM(K9:K16)</f>
        <v>8285194.617</v>
      </c>
      <c r="L8" s="23">
        <v>0.3</v>
      </c>
      <c r="M8" s="38"/>
      <c r="X8" s="13">
        <v>1.0</v>
      </c>
      <c r="Y8" s="13" t="s">
        <v>92</v>
      </c>
      <c r="Z8" s="32" t="s">
        <v>93</v>
      </c>
      <c r="AA8" s="29">
        <v>3236032.8</v>
      </c>
      <c r="AB8" s="17"/>
      <c r="AE8" s="13">
        <v>1.0</v>
      </c>
      <c r="AF8" s="13" t="s">
        <v>94</v>
      </c>
      <c r="AG8" s="13">
        <v>64.0</v>
      </c>
      <c r="AH8" s="29">
        <v>2178084.0</v>
      </c>
    </row>
    <row r="9">
      <c r="A9" s="17"/>
      <c r="B9" s="13" t="s">
        <v>95</v>
      </c>
      <c r="C9" s="13">
        <v>36.0</v>
      </c>
      <c r="D9" s="13">
        <f>SUM(O61:O64)</f>
        <v>4</v>
      </c>
      <c r="E9" s="13" t="s">
        <v>96</v>
      </c>
      <c r="F9" s="13" t="s">
        <v>97</v>
      </c>
      <c r="G9" s="13">
        <f t="shared" ref="G9:G16" si="5">C9-D9</f>
        <v>32</v>
      </c>
      <c r="H9" s="13">
        <v>0.0</v>
      </c>
      <c r="I9" s="27">
        <f>R65*J8</f>
        <v>1149189.942</v>
      </c>
      <c r="J9" s="17"/>
      <c r="K9" s="27">
        <f t="shared" ref="K9:K16" si="6">I9*$L$8</f>
        <v>344756.9826</v>
      </c>
      <c r="L9" s="17"/>
      <c r="M9" s="41">
        <v>46028.0</v>
      </c>
      <c r="N9" s="42"/>
      <c r="O9" s="9"/>
      <c r="P9" s="9"/>
      <c r="Q9" s="9"/>
      <c r="R9" s="9"/>
      <c r="X9" s="13">
        <v>1.0</v>
      </c>
      <c r="Y9" s="13" t="s">
        <v>98</v>
      </c>
      <c r="Z9" s="13">
        <v>377.0</v>
      </c>
      <c r="AA9" s="29">
        <v>3234660.0</v>
      </c>
      <c r="AB9" s="17"/>
      <c r="AE9" s="13">
        <v>1.0</v>
      </c>
      <c r="AF9" s="13" t="s">
        <v>99</v>
      </c>
      <c r="AG9" s="13">
        <v>63.0</v>
      </c>
      <c r="AH9" s="29">
        <v>2463587.0</v>
      </c>
    </row>
    <row r="10">
      <c r="A10" s="17"/>
      <c r="B10" s="13" t="s">
        <v>100</v>
      </c>
      <c r="C10" s="13">
        <v>51.0</v>
      </c>
      <c r="D10" s="13">
        <f>SUM(O68:O73)</f>
        <v>9</v>
      </c>
      <c r="E10" s="13" t="s">
        <v>101</v>
      </c>
      <c r="F10" s="13" t="s">
        <v>102</v>
      </c>
      <c r="G10" s="13">
        <f t="shared" si="5"/>
        <v>42</v>
      </c>
      <c r="H10" s="13">
        <v>0.0</v>
      </c>
      <c r="I10" s="27">
        <f>R74*J8</f>
        <v>1958040</v>
      </c>
      <c r="J10" s="17"/>
      <c r="K10" s="27">
        <f t="shared" si="6"/>
        <v>587412</v>
      </c>
      <c r="L10" s="17"/>
      <c r="M10" s="30">
        <v>46050.0</v>
      </c>
      <c r="N10" s="31"/>
      <c r="O10" s="9" t="s">
        <v>103</v>
      </c>
      <c r="X10" s="13">
        <v>2.0</v>
      </c>
      <c r="Y10" s="13" t="s">
        <v>104</v>
      </c>
      <c r="Z10" s="13">
        <v>240.0</v>
      </c>
      <c r="AA10" s="29">
        <v>1992000.0</v>
      </c>
      <c r="AB10" s="27">
        <f>AA10*X10</f>
        <v>3984000</v>
      </c>
      <c r="AE10" s="13">
        <v>1.0</v>
      </c>
      <c r="AF10" s="13" t="s">
        <v>105</v>
      </c>
      <c r="AG10" s="13">
        <v>64.0</v>
      </c>
      <c r="AH10" s="29">
        <v>2199649.0</v>
      </c>
    </row>
    <row r="11">
      <c r="A11" s="17"/>
      <c r="B11" s="13" t="s">
        <v>106</v>
      </c>
      <c r="C11" s="13">
        <v>34.0</v>
      </c>
      <c r="D11" s="13">
        <f>SUM(X5:X31)</f>
        <v>34</v>
      </c>
      <c r="E11" s="13" t="s">
        <v>107</v>
      </c>
      <c r="F11" s="13" t="s">
        <v>108</v>
      </c>
      <c r="G11" s="13">
        <f t="shared" si="5"/>
        <v>0</v>
      </c>
      <c r="H11" s="13">
        <v>23.0</v>
      </c>
      <c r="I11" s="27">
        <f>AA32*J8</f>
        <v>13430819.56</v>
      </c>
      <c r="J11" s="17"/>
      <c r="K11" s="27">
        <f t="shared" si="6"/>
        <v>4029245.869</v>
      </c>
      <c r="L11" s="17"/>
      <c r="M11" s="30">
        <v>46037.0</v>
      </c>
      <c r="N11" s="31"/>
      <c r="O11" s="13" t="s">
        <v>45</v>
      </c>
      <c r="P11" s="13" t="s">
        <v>65</v>
      </c>
      <c r="Q11" s="13" t="s">
        <v>66</v>
      </c>
      <c r="R11" s="13" t="s">
        <v>67</v>
      </c>
      <c r="X11" s="13">
        <v>1.0</v>
      </c>
      <c r="Y11" s="13" t="s">
        <v>109</v>
      </c>
      <c r="Z11" s="32" t="s">
        <v>110</v>
      </c>
      <c r="AA11" s="29">
        <v>1991585.0</v>
      </c>
      <c r="AB11" s="17"/>
      <c r="AE11" s="13">
        <v>1.0</v>
      </c>
      <c r="AF11" s="13" t="s">
        <v>111</v>
      </c>
      <c r="AG11" s="13">
        <v>63.0</v>
      </c>
      <c r="AH11" s="29">
        <v>2600562.0</v>
      </c>
    </row>
    <row r="12">
      <c r="A12" s="17"/>
      <c r="B12" s="13" t="s">
        <v>112</v>
      </c>
      <c r="C12" s="13">
        <v>8.0</v>
      </c>
      <c r="D12" s="13">
        <f>SUM(O96:O99)</f>
        <v>4</v>
      </c>
      <c r="E12" s="13" t="s">
        <v>113</v>
      </c>
      <c r="F12" s="13" t="s">
        <v>114</v>
      </c>
      <c r="G12" s="13">
        <f t="shared" si="5"/>
        <v>4</v>
      </c>
      <c r="H12" s="13">
        <v>0.0</v>
      </c>
      <c r="I12" s="27">
        <f>R100*J8</f>
        <v>2153999.998</v>
      </c>
      <c r="J12" s="17"/>
      <c r="K12" s="27">
        <f t="shared" si="6"/>
        <v>646199.9993</v>
      </c>
      <c r="L12" s="17"/>
      <c r="M12" s="41">
        <v>46028.0</v>
      </c>
      <c r="N12" s="42"/>
      <c r="O12" s="13">
        <v>1.0</v>
      </c>
      <c r="P12" s="13" t="s">
        <v>115</v>
      </c>
      <c r="Q12" s="32" t="s">
        <v>116</v>
      </c>
      <c r="R12" s="29">
        <v>7276933.78</v>
      </c>
      <c r="X12" s="13">
        <v>1.0</v>
      </c>
      <c r="Y12" s="13" t="s">
        <v>117</v>
      </c>
      <c r="Z12" s="32" t="s">
        <v>83</v>
      </c>
      <c r="AA12" s="29">
        <v>1991834.0</v>
      </c>
      <c r="AB12" s="17"/>
      <c r="AE12" s="13">
        <v>1.0</v>
      </c>
      <c r="AF12" s="13" t="s">
        <v>118</v>
      </c>
      <c r="AG12" s="13">
        <v>63.0</v>
      </c>
      <c r="AH12" s="29">
        <v>2541483.0</v>
      </c>
    </row>
    <row r="13">
      <c r="A13" s="17"/>
      <c r="B13" s="13" t="s">
        <v>119</v>
      </c>
      <c r="C13" s="13">
        <v>39.0</v>
      </c>
      <c r="D13" s="13">
        <f>SUM(O103:O104)</f>
        <v>2</v>
      </c>
      <c r="E13" s="13" t="s">
        <v>120</v>
      </c>
      <c r="F13" s="13" t="s">
        <v>121</v>
      </c>
      <c r="G13" s="13">
        <f t="shared" si="5"/>
        <v>37</v>
      </c>
      <c r="H13" s="13">
        <v>0.0</v>
      </c>
      <c r="I13" s="27">
        <f>R105*J8</f>
        <v>796950</v>
      </c>
      <c r="J13" s="17"/>
      <c r="K13" s="27">
        <f t="shared" si="6"/>
        <v>239085</v>
      </c>
      <c r="L13" s="17"/>
      <c r="M13" s="41">
        <v>46028.0</v>
      </c>
      <c r="N13" s="42"/>
      <c r="O13" s="13">
        <v>1.0</v>
      </c>
      <c r="P13" s="13" t="s">
        <v>115</v>
      </c>
      <c r="Q13" s="32" t="s">
        <v>122</v>
      </c>
      <c r="R13" s="29">
        <v>7242555.2</v>
      </c>
      <c r="X13" s="13">
        <v>1.0</v>
      </c>
      <c r="Y13" s="13" t="s">
        <v>123</v>
      </c>
      <c r="Z13" s="32" t="s">
        <v>124</v>
      </c>
      <c r="AA13" s="29">
        <v>1991502.0</v>
      </c>
      <c r="AB13" s="17"/>
      <c r="AE13" s="13">
        <v>1.0</v>
      </c>
      <c r="AF13" s="13" t="s">
        <v>125</v>
      </c>
      <c r="AG13" s="13">
        <v>63.0</v>
      </c>
      <c r="AH13" s="29">
        <v>2190507.0</v>
      </c>
    </row>
    <row r="14">
      <c r="A14" s="17"/>
      <c r="B14" s="13" t="s">
        <v>126</v>
      </c>
      <c r="C14" s="13">
        <v>49.0</v>
      </c>
      <c r="D14" s="13">
        <f>SUM(O108:O125)</f>
        <v>19</v>
      </c>
      <c r="E14" s="13" t="s">
        <v>127</v>
      </c>
      <c r="F14" s="13" t="s">
        <v>128</v>
      </c>
      <c r="G14" s="13">
        <f t="shared" si="5"/>
        <v>30</v>
      </c>
      <c r="H14" s="13">
        <v>2.0</v>
      </c>
      <c r="I14" s="27">
        <f>R126*J8</f>
        <v>5109802.319</v>
      </c>
      <c r="J14" s="17"/>
      <c r="K14" s="27">
        <f t="shared" si="6"/>
        <v>1532940.696</v>
      </c>
      <c r="L14" s="17"/>
      <c r="M14" s="41">
        <v>46027.0</v>
      </c>
      <c r="N14" s="42"/>
      <c r="O14" s="13">
        <v>1.0</v>
      </c>
      <c r="P14" s="13" t="s">
        <v>129</v>
      </c>
      <c r="Q14" s="32" t="s">
        <v>130</v>
      </c>
      <c r="R14" s="29">
        <v>7371624.88</v>
      </c>
      <c r="X14" s="13">
        <v>1.0</v>
      </c>
      <c r="Y14" s="13" t="s">
        <v>131</v>
      </c>
      <c r="Z14" s="32" t="s">
        <v>132</v>
      </c>
      <c r="AA14" s="29">
        <v>4534898.94</v>
      </c>
      <c r="AB14" s="17"/>
      <c r="AE14" s="13">
        <v>1.0</v>
      </c>
      <c r="AF14" s="13" t="s">
        <v>133</v>
      </c>
      <c r="AG14" s="13">
        <v>63.0</v>
      </c>
      <c r="AH14" s="29">
        <v>2264225.0</v>
      </c>
    </row>
    <row r="15">
      <c r="A15" s="17"/>
      <c r="B15" s="13" t="s">
        <v>134</v>
      </c>
      <c r="C15" s="13">
        <v>24.0</v>
      </c>
      <c r="D15" s="13">
        <f>O77</f>
        <v>1</v>
      </c>
      <c r="E15" s="13" t="s">
        <v>135</v>
      </c>
      <c r="F15" s="13" t="s">
        <v>136</v>
      </c>
      <c r="G15" s="13">
        <f t="shared" si="5"/>
        <v>23</v>
      </c>
      <c r="H15" s="13">
        <v>0.0</v>
      </c>
      <c r="I15" s="29">
        <f>R78*J8</f>
        <v>373500</v>
      </c>
      <c r="J15" s="17"/>
      <c r="K15" s="27">
        <f t="shared" si="6"/>
        <v>112050</v>
      </c>
      <c r="L15" s="17"/>
      <c r="M15" s="41">
        <v>46028.0</v>
      </c>
      <c r="N15" s="42"/>
      <c r="R15" s="40">
        <f>SUM(R10:R14)</f>
        <v>21891113.86</v>
      </c>
      <c r="X15" s="13">
        <v>1.0</v>
      </c>
      <c r="Y15" s="13" t="s">
        <v>137</v>
      </c>
      <c r="Z15" s="32" t="s">
        <v>138</v>
      </c>
      <c r="AA15" s="29">
        <v>2946629.4</v>
      </c>
      <c r="AB15" s="17"/>
      <c r="AE15" s="13">
        <v>1.0</v>
      </c>
      <c r="AF15" s="13" t="s">
        <v>139</v>
      </c>
      <c r="AG15" s="13">
        <v>63.0</v>
      </c>
      <c r="AH15" s="29">
        <v>2640541.0</v>
      </c>
    </row>
    <row r="16">
      <c r="A16" s="17"/>
      <c r="B16" s="13" t="s">
        <v>140</v>
      </c>
      <c r="C16" s="13">
        <v>144.0</v>
      </c>
      <c r="D16" s="13">
        <f>SUM(X36:X45)</f>
        <v>79</v>
      </c>
      <c r="E16" s="13" t="s">
        <v>141</v>
      </c>
      <c r="F16" s="13" t="s">
        <v>142</v>
      </c>
      <c r="G16" s="13">
        <f t="shared" si="5"/>
        <v>65</v>
      </c>
      <c r="H16" s="13">
        <v>9.0</v>
      </c>
      <c r="I16" s="27">
        <f>AA46*J8</f>
        <v>2645013.571</v>
      </c>
      <c r="J16" s="17"/>
      <c r="K16" s="27">
        <f t="shared" si="6"/>
        <v>793504.0712</v>
      </c>
      <c r="L16" s="17"/>
      <c r="M16" s="30">
        <v>46064.0</v>
      </c>
      <c r="N16" s="31"/>
      <c r="O16" s="9" t="s">
        <v>143</v>
      </c>
      <c r="X16" s="13">
        <v>1.0</v>
      </c>
      <c r="Y16" s="13" t="s">
        <v>144</v>
      </c>
      <c r="Z16" s="32" t="s">
        <v>145</v>
      </c>
      <c r="AA16" s="29">
        <v>3993239.25</v>
      </c>
      <c r="AB16" s="17"/>
      <c r="AE16" s="13">
        <v>1.0</v>
      </c>
      <c r="AF16" s="13" t="s">
        <v>146</v>
      </c>
      <c r="AG16" s="13">
        <v>63.0</v>
      </c>
      <c r="AH16" s="29">
        <v>2219994.0</v>
      </c>
    </row>
    <row r="17">
      <c r="A17" s="38"/>
      <c r="B17" s="21" t="s">
        <v>147</v>
      </c>
      <c r="C17" s="21"/>
      <c r="D17" s="39">
        <f>SUM(D18:D19)</f>
        <v>58</v>
      </c>
      <c r="E17" s="39"/>
      <c r="F17" s="39"/>
      <c r="G17" s="39">
        <f t="shared" ref="G17:I17" si="7">SUM(G18:G19)</f>
        <v>78</v>
      </c>
      <c r="H17" s="39">
        <f t="shared" si="7"/>
        <v>5</v>
      </c>
      <c r="I17" s="40">
        <f t="shared" si="7"/>
        <v>4240944.035</v>
      </c>
      <c r="J17" s="23">
        <v>0.06</v>
      </c>
      <c r="K17" s="24">
        <f>SUM(K18:K19)</f>
        <v>1272283.21</v>
      </c>
      <c r="L17" s="23">
        <v>0.3</v>
      </c>
      <c r="M17" s="38"/>
      <c r="O17" s="13" t="s">
        <v>45</v>
      </c>
      <c r="P17" s="13" t="s">
        <v>65</v>
      </c>
      <c r="Q17" s="13" t="s">
        <v>66</v>
      </c>
      <c r="R17" s="13" t="s">
        <v>67</v>
      </c>
      <c r="S17" s="17"/>
      <c r="X17" s="13">
        <v>2.0</v>
      </c>
      <c r="Y17" s="13" t="s">
        <v>148</v>
      </c>
      <c r="Z17" s="32" t="s">
        <v>149</v>
      </c>
      <c r="AA17" s="29">
        <v>3176144.4</v>
      </c>
      <c r="AB17" s="27">
        <f>AA17*X17</f>
        <v>6352288.8</v>
      </c>
      <c r="AE17" s="13">
        <v>1.0</v>
      </c>
      <c r="AF17" s="13" t="s">
        <v>150</v>
      </c>
      <c r="AG17" s="13">
        <v>63.0</v>
      </c>
      <c r="AH17" s="29">
        <v>2764009.0</v>
      </c>
    </row>
    <row r="18">
      <c r="A18" s="17"/>
      <c r="B18" s="13" t="s">
        <v>151</v>
      </c>
      <c r="C18" s="13">
        <v>136.0</v>
      </c>
      <c r="D18" s="13">
        <f>SUM(X51:X88)</f>
        <v>58</v>
      </c>
      <c r="E18" s="13" t="s">
        <v>152</v>
      </c>
      <c r="F18" s="13" t="s">
        <v>153</v>
      </c>
      <c r="G18" s="13">
        <f>C18-D18</f>
        <v>78</v>
      </c>
      <c r="H18" s="13">
        <v>5.0</v>
      </c>
      <c r="I18" s="27">
        <f>AA89*J17</f>
        <v>4240944.035</v>
      </c>
      <c r="J18" s="17"/>
      <c r="K18" s="27">
        <f t="shared" ref="K18:K19" si="8">I18*$L$17</f>
        <v>1272283.21</v>
      </c>
      <c r="L18" s="17"/>
      <c r="M18" s="30">
        <v>46045.0</v>
      </c>
      <c r="N18" s="31"/>
      <c r="O18" s="13">
        <v>1.0</v>
      </c>
      <c r="P18" s="13" t="s">
        <v>154</v>
      </c>
      <c r="Q18" s="32" t="s">
        <v>155</v>
      </c>
      <c r="R18" s="29">
        <v>3790000.0</v>
      </c>
      <c r="S18" s="17"/>
      <c r="X18" s="13">
        <v>1.0</v>
      </c>
      <c r="Y18" s="13" t="s">
        <v>156</v>
      </c>
      <c r="Z18" s="32" t="s">
        <v>157</v>
      </c>
      <c r="AA18" s="29">
        <v>3705959.4</v>
      </c>
      <c r="AB18" s="17"/>
      <c r="AE18" s="13">
        <v>1.0</v>
      </c>
      <c r="AF18" s="13" t="s">
        <v>158</v>
      </c>
      <c r="AG18" s="13">
        <v>63.0</v>
      </c>
      <c r="AH18" s="29">
        <v>2700783.0</v>
      </c>
    </row>
    <row r="19">
      <c r="A19" s="17"/>
      <c r="B19" s="13" t="s">
        <v>159</v>
      </c>
      <c r="C19" s="13"/>
      <c r="D19" s="17"/>
      <c r="E19" s="17"/>
      <c r="F19" s="17"/>
      <c r="G19" s="17"/>
      <c r="H19" s="17"/>
      <c r="I19" s="17"/>
      <c r="J19" s="17"/>
      <c r="K19" s="17">
        <f t="shared" si="8"/>
        <v>0</v>
      </c>
      <c r="L19" s="17"/>
      <c r="M19" s="17"/>
      <c r="O19" s="13">
        <v>1.0</v>
      </c>
      <c r="P19" s="13" t="s">
        <v>160</v>
      </c>
      <c r="Q19" s="32" t="s">
        <v>161</v>
      </c>
      <c r="R19" s="29">
        <v>3438232.0</v>
      </c>
      <c r="S19" s="17"/>
      <c r="X19" s="13">
        <v>4.0</v>
      </c>
      <c r="Y19" s="13" t="s">
        <v>162</v>
      </c>
      <c r="Z19" s="32" t="s">
        <v>163</v>
      </c>
      <c r="AA19" s="29">
        <v>3176401.8</v>
      </c>
      <c r="AB19" s="27">
        <f t="shared" ref="AB19:AB20" si="10">AA19*X19</f>
        <v>12705607.2</v>
      </c>
      <c r="AH19" s="40">
        <f>SUM(AH5:AH18)</f>
        <v>33921766</v>
      </c>
    </row>
    <row r="20">
      <c r="A20" s="38"/>
      <c r="B20" s="21" t="s">
        <v>164</v>
      </c>
      <c r="C20" s="21"/>
      <c r="D20" s="39">
        <f>SUM(D21:D27)</f>
        <v>123</v>
      </c>
      <c r="E20" s="39"/>
      <c r="F20" s="39"/>
      <c r="G20" s="39">
        <f t="shared" ref="G20:I20" si="9">SUM(G21:G27)</f>
        <v>324</v>
      </c>
      <c r="H20" s="39">
        <f t="shared" si="9"/>
        <v>14</v>
      </c>
      <c r="I20" s="40">
        <f t="shared" si="9"/>
        <v>51997731.43</v>
      </c>
      <c r="J20" s="23">
        <v>0.06</v>
      </c>
      <c r="K20" s="24">
        <f>SUM(K21:K27)</f>
        <v>15599319.43</v>
      </c>
      <c r="L20" s="23">
        <v>0.3</v>
      </c>
      <c r="M20" s="38"/>
      <c r="O20" s="13">
        <v>1.0</v>
      </c>
      <c r="P20" s="13" t="s">
        <v>165</v>
      </c>
      <c r="Q20" s="32" t="s">
        <v>166</v>
      </c>
      <c r="R20" s="29">
        <v>6580000.0</v>
      </c>
      <c r="S20" s="17"/>
      <c r="X20" s="13">
        <v>2.0</v>
      </c>
      <c r="Y20" s="13" t="s">
        <v>167</v>
      </c>
      <c r="Z20" s="32" t="s">
        <v>168</v>
      </c>
      <c r="AA20" s="29">
        <v>3176316.0</v>
      </c>
      <c r="AB20" s="27">
        <f t="shared" si="10"/>
        <v>6352632</v>
      </c>
    </row>
    <row r="21">
      <c r="A21" s="17"/>
      <c r="B21" s="13" t="s">
        <v>169</v>
      </c>
      <c r="C21" s="13">
        <v>81.0</v>
      </c>
      <c r="D21" s="13">
        <f>SUM(X93:X100)</f>
        <v>8</v>
      </c>
      <c r="E21" s="13" t="s">
        <v>170</v>
      </c>
      <c r="F21" s="13" t="s">
        <v>171</v>
      </c>
      <c r="G21" s="13">
        <f t="shared" ref="G21:G27" si="11">C21-D21</f>
        <v>73</v>
      </c>
      <c r="H21" s="13">
        <v>0.0</v>
      </c>
      <c r="I21" s="27">
        <f>AA101*J20</f>
        <v>4060829.327</v>
      </c>
      <c r="J21" s="17"/>
      <c r="K21" s="27">
        <f t="shared" ref="K21:K27" si="12">I21*$L$20</f>
        <v>1218248.798</v>
      </c>
      <c r="L21" s="17"/>
      <c r="M21" s="30">
        <v>46069.0</v>
      </c>
      <c r="N21" s="31"/>
      <c r="O21" s="13">
        <v>1.0</v>
      </c>
      <c r="P21" s="13" t="s">
        <v>172</v>
      </c>
      <c r="Q21" s="32" t="s">
        <v>173</v>
      </c>
      <c r="R21" s="29">
        <v>3670000.0</v>
      </c>
      <c r="S21" s="17"/>
      <c r="X21" s="13">
        <v>1.0</v>
      </c>
      <c r="Y21" s="13" t="s">
        <v>174</v>
      </c>
      <c r="Z21" s="32" t="s">
        <v>175</v>
      </c>
      <c r="AA21" s="29">
        <v>9908852.66</v>
      </c>
      <c r="AB21" s="17"/>
      <c r="AE21" s="9" t="s">
        <v>176</v>
      </c>
    </row>
    <row r="22">
      <c r="A22" s="17"/>
      <c r="B22" s="13" t="s">
        <v>177</v>
      </c>
      <c r="C22" s="13">
        <v>4.0</v>
      </c>
      <c r="D22" s="13">
        <f>SUM(O397:O400)</f>
        <v>4</v>
      </c>
      <c r="E22" s="13" t="s">
        <v>178</v>
      </c>
      <c r="F22" s="13" t="s">
        <v>179</v>
      </c>
      <c r="G22" s="13">
        <f t="shared" si="11"/>
        <v>0</v>
      </c>
      <c r="H22" s="13">
        <v>0.0</v>
      </c>
      <c r="I22" s="27">
        <f>R401*J20</f>
        <v>1846637.002</v>
      </c>
      <c r="J22" s="17"/>
      <c r="K22" s="27">
        <f t="shared" si="12"/>
        <v>553991.1005</v>
      </c>
      <c r="L22" s="17"/>
      <c r="M22" s="30">
        <v>46069.0</v>
      </c>
      <c r="N22" s="31"/>
      <c r="O22" s="13">
        <v>1.0</v>
      </c>
      <c r="P22" s="13" t="s">
        <v>180</v>
      </c>
      <c r="Q22" s="32" t="s">
        <v>181</v>
      </c>
      <c r="R22" s="29">
        <v>4390000.0</v>
      </c>
      <c r="S22" s="17"/>
      <c r="X22" s="13">
        <v>1.0</v>
      </c>
      <c r="Y22" s="13" t="s">
        <v>182</v>
      </c>
      <c r="Z22" s="32" t="s">
        <v>183</v>
      </c>
      <c r="AA22" s="29">
        <v>2.043314368E7</v>
      </c>
      <c r="AB22" s="17"/>
      <c r="AE22" s="13" t="s">
        <v>45</v>
      </c>
      <c r="AF22" s="13" t="s">
        <v>68</v>
      </c>
      <c r="AG22" s="13" t="s">
        <v>66</v>
      </c>
      <c r="AH22" s="13" t="s">
        <v>69</v>
      </c>
    </row>
    <row r="23">
      <c r="A23" s="17"/>
      <c r="B23" s="13" t="s">
        <v>184</v>
      </c>
      <c r="C23" s="13">
        <v>12.0</v>
      </c>
      <c r="D23" s="13">
        <f>SUM(X105:X108)</f>
        <v>4</v>
      </c>
      <c r="E23" s="13" t="s">
        <v>185</v>
      </c>
      <c r="F23" s="13" t="s">
        <v>186</v>
      </c>
      <c r="G23" s="13">
        <f t="shared" si="11"/>
        <v>8</v>
      </c>
      <c r="H23" s="13">
        <v>1.0</v>
      </c>
      <c r="I23" s="27">
        <f>AA109*J20</f>
        <v>1453776.785</v>
      </c>
      <c r="J23" s="17"/>
      <c r="K23" s="27">
        <f t="shared" si="12"/>
        <v>436133.0356</v>
      </c>
      <c r="L23" s="17"/>
      <c r="M23" s="30">
        <v>46069.0</v>
      </c>
      <c r="N23" s="31"/>
      <c r="O23" s="13">
        <v>1.0</v>
      </c>
      <c r="P23" s="13" t="s">
        <v>187</v>
      </c>
      <c r="Q23" s="32" t="s">
        <v>188</v>
      </c>
      <c r="R23" s="29">
        <v>4080000.0</v>
      </c>
      <c r="S23" s="17"/>
      <c r="X23" s="13">
        <v>1.0</v>
      </c>
      <c r="Y23" s="13" t="s">
        <v>189</v>
      </c>
      <c r="Z23" s="32" t="s">
        <v>190</v>
      </c>
      <c r="AA23" s="29">
        <v>2.066808822E7</v>
      </c>
      <c r="AB23" s="17"/>
      <c r="AE23" s="13">
        <v>1.0</v>
      </c>
      <c r="AF23" s="13" t="s">
        <v>191</v>
      </c>
      <c r="AG23" s="13">
        <v>63.0</v>
      </c>
      <c r="AH23" s="29">
        <v>3560000.0</v>
      </c>
    </row>
    <row r="24">
      <c r="A24" s="17"/>
      <c r="B24" s="13" t="s">
        <v>192</v>
      </c>
      <c r="C24" s="13">
        <v>44.0</v>
      </c>
      <c r="D24" s="13">
        <f>SUM(X113:X116)</f>
        <v>25</v>
      </c>
      <c r="E24" s="13" t="s">
        <v>193</v>
      </c>
      <c r="F24" s="13" t="s">
        <v>194</v>
      </c>
      <c r="G24" s="13">
        <f t="shared" si="11"/>
        <v>19</v>
      </c>
      <c r="H24" s="13">
        <v>10.0</v>
      </c>
      <c r="I24" s="27">
        <f>AA117*J20</f>
        <v>3906152.88</v>
      </c>
      <c r="J24" s="17"/>
      <c r="K24" s="27">
        <f t="shared" si="12"/>
        <v>1171845.864</v>
      </c>
      <c r="L24" s="17"/>
      <c r="M24" s="41">
        <v>46056.0</v>
      </c>
      <c r="N24" s="42"/>
      <c r="O24" s="13">
        <v>1.0</v>
      </c>
      <c r="P24" s="13" t="s">
        <v>195</v>
      </c>
      <c r="Q24" s="32" t="s">
        <v>173</v>
      </c>
      <c r="R24" s="29">
        <v>3770000.0</v>
      </c>
      <c r="S24" s="17"/>
      <c r="X24" s="13">
        <v>1.0</v>
      </c>
      <c r="Y24" s="13" t="s">
        <v>196</v>
      </c>
      <c r="Z24" s="32" t="s">
        <v>197</v>
      </c>
      <c r="AA24" s="29">
        <v>1.401621198E7</v>
      </c>
      <c r="AB24" s="17"/>
      <c r="AE24" s="13">
        <v>1.0</v>
      </c>
      <c r="AF24" s="13" t="s">
        <v>198</v>
      </c>
      <c r="AG24" s="13">
        <v>280.0</v>
      </c>
      <c r="AH24" s="29">
        <v>6827962.0</v>
      </c>
    </row>
    <row r="25">
      <c r="A25" s="17"/>
      <c r="B25" s="13" t="s">
        <v>199</v>
      </c>
      <c r="C25" s="13">
        <v>283.0</v>
      </c>
      <c r="D25" s="13">
        <f>SUM(X121:X194)</f>
        <v>74</v>
      </c>
      <c r="E25" s="13" t="s">
        <v>200</v>
      </c>
      <c r="F25" s="13" t="s">
        <v>201</v>
      </c>
      <c r="G25" s="13">
        <f t="shared" si="11"/>
        <v>209</v>
      </c>
      <c r="H25" s="13">
        <v>2.0</v>
      </c>
      <c r="I25" s="27">
        <f>AA195*J20</f>
        <v>39384617.9</v>
      </c>
      <c r="J25" s="17"/>
      <c r="K25" s="27">
        <f t="shared" si="12"/>
        <v>11815385.37</v>
      </c>
      <c r="L25" s="17"/>
      <c r="M25" s="30">
        <v>46069.0</v>
      </c>
      <c r="N25" s="31"/>
      <c r="O25" s="13">
        <v>1.0</v>
      </c>
      <c r="P25" s="13" t="s">
        <v>202</v>
      </c>
      <c r="Q25" s="32" t="s">
        <v>161</v>
      </c>
      <c r="R25" s="29">
        <v>3700000.0</v>
      </c>
      <c r="S25" s="17"/>
      <c r="X25" s="13">
        <v>1.0</v>
      </c>
      <c r="Y25" s="13" t="s">
        <v>203</v>
      </c>
      <c r="Z25" s="32" t="s">
        <v>204</v>
      </c>
      <c r="AA25" s="29">
        <v>1.104270314E7</v>
      </c>
      <c r="AB25" s="17"/>
      <c r="AE25" s="13">
        <v>1.0</v>
      </c>
      <c r="AF25" s="13" t="s">
        <v>205</v>
      </c>
      <c r="AG25" s="13">
        <v>63.0</v>
      </c>
      <c r="AH25" s="29">
        <v>3460000.0</v>
      </c>
    </row>
    <row r="26">
      <c r="A26" s="17"/>
      <c r="B26" s="13" t="s">
        <v>206</v>
      </c>
      <c r="C26" s="13">
        <v>19.0</v>
      </c>
      <c r="D26" s="13">
        <f>SUM(X199:X200)</f>
        <v>4</v>
      </c>
      <c r="E26" s="13" t="s">
        <v>207</v>
      </c>
      <c r="F26" s="13" t="s">
        <v>208</v>
      </c>
      <c r="G26" s="13">
        <f t="shared" si="11"/>
        <v>15</v>
      </c>
      <c r="H26" s="13">
        <v>1.0</v>
      </c>
      <c r="I26" s="27">
        <f>AA201*J20</f>
        <v>323941.956</v>
      </c>
      <c r="J26" s="17"/>
      <c r="K26" s="27">
        <f t="shared" si="12"/>
        <v>97182.5868</v>
      </c>
      <c r="L26" s="17"/>
      <c r="M26" s="30">
        <v>46069.0</v>
      </c>
      <c r="N26" s="31"/>
      <c r="O26" s="13">
        <v>1.0</v>
      </c>
      <c r="P26" s="13" t="s">
        <v>209</v>
      </c>
      <c r="Q26" s="32" t="s">
        <v>210</v>
      </c>
      <c r="R26" s="29">
        <v>4413500.0</v>
      </c>
      <c r="S26" s="17"/>
      <c r="X26" s="13">
        <v>1.0</v>
      </c>
      <c r="Y26" s="13" t="s">
        <v>211</v>
      </c>
      <c r="Z26" s="32" t="s">
        <v>212</v>
      </c>
      <c r="AA26" s="29">
        <v>1.042582778E7</v>
      </c>
      <c r="AB26" s="17"/>
      <c r="AE26" s="13">
        <v>1.0</v>
      </c>
      <c r="AF26" s="13" t="s">
        <v>213</v>
      </c>
      <c r="AG26" s="13">
        <v>81.0</v>
      </c>
      <c r="AH26" s="29">
        <v>4367450.0</v>
      </c>
    </row>
    <row r="27">
      <c r="A27" s="17"/>
      <c r="B27" s="13" t="s">
        <v>214</v>
      </c>
      <c r="C27" s="13">
        <v>4.0</v>
      </c>
      <c r="D27" s="13">
        <v>4.0</v>
      </c>
      <c r="E27" s="13" t="s">
        <v>215</v>
      </c>
      <c r="F27" s="13" t="s">
        <v>216</v>
      </c>
      <c r="G27" s="13">
        <f t="shared" si="11"/>
        <v>0</v>
      </c>
      <c r="H27" s="13">
        <v>0.0</v>
      </c>
      <c r="I27" s="27">
        <f>AA208*J20</f>
        <v>1021775.583</v>
      </c>
      <c r="J27" s="17"/>
      <c r="K27" s="27">
        <f t="shared" si="12"/>
        <v>306532.6749</v>
      </c>
      <c r="L27" s="17"/>
      <c r="M27" s="30">
        <v>46069.0</v>
      </c>
      <c r="N27" s="31"/>
      <c r="O27" s="13">
        <v>2.0</v>
      </c>
      <c r="P27" s="13" t="s">
        <v>217</v>
      </c>
      <c r="Q27" s="32" t="s">
        <v>173</v>
      </c>
      <c r="R27" s="29">
        <v>3820000.0</v>
      </c>
      <c r="S27" s="27">
        <f t="shared" ref="S27:S32" si="14">R27*O27</f>
        <v>7640000</v>
      </c>
      <c r="X27" s="13">
        <v>1.0</v>
      </c>
      <c r="Y27" s="13" t="s">
        <v>218</v>
      </c>
      <c r="Z27" s="43">
        <v>976424.0</v>
      </c>
      <c r="AA27" s="29">
        <v>9354141.92</v>
      </c>
      <c r="AB27" s="17"/>
      <c r="AE27" s="13">
        <v>1.0</v>
      </c>
      <c r="AF27" s="13" t="s">
        <v>219</v>
      </c>
      <c r="AG27" s="13">
        <v>73.0</v>
      </c>
      <c r="AH27" s="29">
        <v>3931235.0</v>
      </c>
    </row>
    <row r="28">
      <c r="A28" s="38"/>
      <c r="B28" s="21" t="s">
        <v>220</v>
      </c>
      <c r="C28" s="21"/>
      <c r="D28" s="39">
        <f>D29+D34+D50+D53+D55+D57+D59+D61+D64+D67</f>
        <v>634</v>
      </c>
      <c r="E28" s="39"/>
      <c r="F28" s="39"/>
      <c r="G28" s="39">
        <f>(G29+G34+G50+G53+G55+G57+G59+G61+G64+G67)</f>
        <v>2352</v>
      </c>
      <c r="H28" s="39">
        <f t="shared" ref="H28:I28" si="13">H29+H34+H50+H53+H55+H57+H59+H61+H64+H67</f>
        <v>348</v>
      </c>
      <c r="I28" s="40">
        <f t="shared" si="13"/>
        <v>113200240.8</v>
      </c>
      <c r="J28" s="23"/>
      <c r="K28" s="24">
        <f>K29+K34+K50+K53+K55+K57+K59+K61+K64+K67</f>
        <v>33960072.25</v>
      </c>
      <c r="L28" s="23"/>
      <c r="M28" s="38"/>
      <c r="N28" s="44"/>
      <c r="O28" s="45">
        <v>2.0</v>
      </c>
      <c r="P28" s="45" t="s">
        <v>221</v>
      </c>
      <c r="Q28" s="46" t="s">
        <v>161</v>
      </c>
      <c r="R28" s="47">
        <v>3780000.0</v>
      </c>
      <c r="S28" s="48">
        <f t="shared" si="14"/>
        <v>7560000</v>
      </c>
      <c r="T28" s="44"/>
      <c r="U28" s="44"/>
      <c r="V28" s="44"/>
      <c r="W28" s="44"/>
      <c r="X28" s="45">
        <v>1.0</v>
      </c>
      <c r="Y28" s="45" t="s">
        <v>222</v>
      </c>
      <c r="Z28" s="46" t="s">
        <v>223</v>
      </c>
      <c r="AA28" s="47">
        <v>1.25510539E7</v>
      </c>
      <c r="AB28" s="49"/>
      <c r="AC28" s="44"/>
      <c r="AD28" s="44"/>
      <c r="AE28" s="45">
        <v>1.0</v>
      </c>
      <c r="AF28" s="45" t="s">
        <v>224</v>
      </c>
      <c r="AG28" s="45">
        <v>78.0</v>
      </c>
      <c r="AH28" s="47">
        <v>4180427.0</v>
      </c>
      <c r="AI28" s="44"/>
      <c r="AJ28" s="44"/>
      <c r="AK28" s="44"/>
      <c r="AL28" s="44"/>
    </row>
    <row r="29">
      <c r="A29" s="50"/>
      <c r="B29" s="51" t="s">
        <v>225</v>
      </c>
      <c r="C29" s="51"/>
      <c r="D29" s="50">
        <f>SUM(D30:D33)</f>
        <v>112</v>
      </c>
      <c r="E29" s="50"/>
      <c r="F29" s="50"/>
      <c r="G29" s="50">
        <f t="shared" ref="G29:I29" si="15">SUM(G30:G33)</f>
        <v>410</v>
      </c>
      <c r="H29" s="50">
        <f t="shared" si="15"/>
        <v>23</v>
      </c>
      <c r="I29" s="52">
        <f t="shared" si="15"/>
        <v>12561489.72</v>
      </c>
      <c r="J29" s="53">
        <v>0.03</v>
      </c>
      <c r="K29" s="54">
        <f>SUM(K30:K33)</f>
        <v>3768446.916</v>
      </c>
      <c r="L29" s="55">
        <v>0.3</v>
      </c>
      <c r="M29" s="50"/>
      <c r="N29" s="44"/>
      <c r="O29" s="45">
        <v>2.0</v>
      </c>
      <c r="P29" s="45" t="s">
        <v>226</v>
      </c>
      <c r="Q29" s="46" t="s">
        <v>227</v>
      </c>
      <c r="R29" s="47">
        <v>3857927.74</v>
      </c>
      <c r="S29" s="48">
        <f t="shared" si="14"/>
        <v>7715855.48</v>
      </c>
      <c r="T29" s="44"/>
      <c r="U29" s="44"/>
      <c r="V29" s="44"/>
      <c r="W29" s="44"/>
      <c r="X29" s="45">
        <v>1.0</v>
      </c>
      <c r="Y29" s="45" t="s">
        <v>228</v>
      </c>
      <c r="Z29" s="56" t="s">
        <v>229</v>
      </c>
      <c r="AA29" s="47">
        <v>1.569967604E7</v>
      </c>
      <c r="AB29" s="49"/>
      <c r="AC29" s="44"/>
      <c r="AD29" s="44"/>
      <c r="AE29" s="45">
        <v>1.0</v>
      </c>
      <c r="AF29" s="45" t="s">
        <v>230</v>
      </c>
      <c r="AG29" s="45">
        <v>73.0</v>
      </c>
      <c r="AH29" s="47">
        <v>3954314.0</v>
      </c>
      <c r="AI29" s="57"/>
      <c r="AJ29" s="44"/>
      <c r="AK29" s="44"/>
      <c r="AL29" s="44"/>
    </row>
    <row r="30">
      <c r="A30" s="17"/>
      <c r="B30" s="58" t="s">
        <v>231</v>
      </c>
      <c r="C30" s="58">
        <v>101.0</v>
      </c>
      <c r="D30" s="13">
        <f>SUM(AE5:AE18)</f>
        <v>14</v>
      </c>
      <c r="E30" s="13" t="s">
        <v>232</v>
      </c>
      <c r="F30" s="13" t="s">
        <v>233</v>
      </c>
      <c r="G30" s="13">
        <f t="shared" ref="G30:G33" si="16">C30-D30</f>
        <v>87</v>
      </c>
      <c r="H30" s="13">
        <v>11.0</v>
      </c>
      <c r="I30" s="27">
        <f>AH19*J29</f>
        <v>1017652.98</v>
      </c>
      <c r="J30" s="17"/>
      <c r="K30" s="27">
        <f t="shared" ref="K30:K33" si="17">I30*$L$29</f>
        <v>305295.894</v>
      </c>
      <c r="L30" s="17"/>
      <c r="M30" s="17"/>
      <c r="O30" s="13">
        <v>2.0</v>
      </c>
      <c r="P30" s="13" t="s">
        <v>234</v>
      </c>
      <c r="Q30" s="32" t="s">
        <v>166</v>
      </c>
      <c r="R30" s="29">
        <v>7186800.0</v>
      </c>
      <c r="S30" s="27">
        <f t="shared" si="14"/>
        <v>14373600</v>
      </c>
      <c r="X30" s="13">
        <v>1.0</v>
      </c>
      <c r="Y30" s="13" t="s">
        <v>235</v>
      </c>
      <c r="Z30" s="59" t="s">
        <v>236</v>
      </c>
      <c r="AA30" s="29">
        <v>1.36011858E7</v>
      </c>
      <c r="AB30" s="17"/>
      <c r="AE30" s="13">
        <v>1.0</v>
      </c>
      <c r="AF30" s="13" t="s">
        <v>237</v>
      </c>
      <c r="AG30" s="13">
        <v>81.0</v>
      </c>
      <c r="AH30" s="29">
        <v>4400849.0</v>
      </c>
    </row>
    <row r="31">
      <c r="A31" s="17"/>
      <c r="B31" s="13" t="s">
        <v>238</v>
      </c>
      <c r="C31" s="13">
        <v>127.0</v>
      </c>
      <c r="D31" s="13">
        <f>SUM(AE23:AE55)</f>
        <v>33</v>
      </c>
      <c r="E31" s="13" t="s">
        <v>239</v>
      </c>
      <c r="F31" s="13" t="s">
        <v>240</v>
      </c>
      <c r="G31" s="13">
        <f t="shared" si="16"/>
        <v>94</v>
      </c>
      <c r="H31" s="13">
        <v>5.0</v>
      </c>
      <c r="I31" s="27">
        <f>AH56*J29</f>
        <v>4341960.93</v>
      </c>
      <c r="J31" s="17"/>
      <c r="K31" s="27">
        <f t="shared" si="17"/>
        <v>1302588.279</v>
      </c>
      <c r="L31" s="17"/>
      <c r="M31" s="17"/>
      <c r="O31" s="13">
        <v>2.0</v>
      </c>
      <c r="P31" s="13" t="s">
        <v>241</v>
      </c>
      <c r="Q31" s="32" t="s">
        <v>210</v>
      </c>
      <c r="R31" s="29">
        <v>4550000.0</v>
      </c>
      <c r="S31" s="27">
        <f t="shared" si="14"/>
        <v>9100000</v>
      </c>
      <c r="X31" s="13">
        <v>1.0</v>
      </c>
      <c r="Y31" s="13" t="s">
        <v>242</v>
      </c>
      <c r="Z31" s="32" t="s">
        <v>243</v>
      </c>
      <c r="AA31" s="29">
        <v>1.54781742E7</v>
      </c>
      <c r="AB31" s="17"/>
      <c r="AE31" s="13">
        <v>1.0</v>
      </c>
      <c r="AF31" s="13" t="s">
        <v>244</v>
      </c>
      <c r="AG31" s="13">
        <v>73.0</v>
      </c>
      <c r="AH31" s="29">
        <v>3974516.0</v>
      </c>
    </row>
    <row r="32">
      <c r="A32" s="17"/>
      <c r="B32" s="13" t="s">
        <v>245</v>
      </c>
      <c r="C32" s="13">
        <v>248.0</v>
      </c>
      <c r="D32" s="13">
        <f>SUM(AE59:AE87)</f>
        <v>30</v>
      </c>
      <c r="E32" s="13" t="s">
        <v>246</v>
      </c>
      <c r="F32" s="13" t="s">
        <v>247</v>
      </c>
      <c r="G32" s="13">
        <f t="shared" si="16"/>
        <v>218</v>
      </c>
      <c r="H32" s="13">
        <v>3.0</v>
      </c>
      <c r="I32" s="27">
        <f>AH88*J29</f>
        <v>3715599.39</v>
      </c>
      <c r="J32" s="17"/>
      <c r="K32" s="27">
        <f t="shared" si="17"/>
        <v>1114679.817</v>
      </c>
      <c r="L32" s="17"/>
      <c r="M32" s="17"/>
      <c r="O32" s="13">
        <v>2.0</v>
      </c>
      <c r="P32" s="13" t="s">
        <v>248</v>
      </c>
      <c r="Q32" s="32" t="s">
        <v>188</v>
      </c>
      <c r="R32" s="29">
        <v>4380000.0</v>
      </c>
      <c r="S32" s="27">
        <f t="shared" si="14"/>
        <v>8760000</v>
      </c>
      <c r="AA32" s="40">
        <f>AA5+AB6+SUM(AA7:AA9)+AB10+SUM(AA11:AA16)+AB17+AA18+SUM(AB19:AB20)+SUM(AA21:AA31)</f>
        <v>223846992.7</v>
      </c>
      <c r="AE32" s="13">
        <v>1.0</v>
      </c>
      <c r="AF32" s="13" t="s">
        <v>249</v>
      </c>
      <c r="AG32" s="13">
        <v>81.0</v>
      </c>
      <c r="AH32" s="29">
        <v>4446979.0</v>
      </c>
    </row>
    <row r="33">
      <c r="A33" s="17"/>
      <c r="B33" s="13" t="s">
        <v>250</v>
      </c>
      <c r="C33" s="13">
        <v>46.0</v>
      </c>
      <c r="D33" s="13">
        <f>SUM(AE92:AE121)</f>
        <v>35</v>
      </c>
      <c r="E33" s="13" t="s">
        <v>251</v>
      </c>
      <c r="F33" s="13" t="s">
        <v>252</v>
      </c>
      <c r="G33" s="13">
        <f t="shared" si="16"/>
        <v>11</v>
      </c>
      <c r="H33" s="13">
        <v>4.0</v>
      </c>
      <c r="I33" s="27">
        <f>AH122*J29</f>
        <v>3486276.42</v>
      </c>
      <c r="J33" s="17"/>
      <c r="K33" s="27">
        <f t="shared" si="17"/>
        <v>1045882.926</v>
      </c>
      <c r="L33" s="17"/>
      <c r="M33" s="17"/>
      <c r="O33" s="13">
        <v>1.0</v>
      </c>
      <c r="P33" s="13" t="s">
        <v>253</v>
      </c>
      <c r="Q33" s="32" t="s">
        <v>173</v>
      </c>
      <c r="R33" s="29">
        <v>4011000.0</v>
      </c>
      <c r="S33" s="17"/>
      <c r="AE33" s="13">
        <v>1.0</v>
      </c>
      <c r="AF33" s="13" t="s">
        <v>254</v>
      </c>
      <c r="AG33" s="13">
        <v>78.0</v>
      </c>
      <c r="AH33" s="29">
        <v>4298083.0</v>
      </c>
    </row>
    <row r="34">
      <c r="A34" s="50"/>
      <c r="B34" s="51" t="s">
        <v>255</v>
      </c>
      <c r="C34" s="51"/>
      <c r="D34" s="50">
        <f>SUM(D35:D49)</f>
        <v>247</v>
      </c>
      <c r="E34" s="50"/>
      <c r="F34" s="50"/>
      <c r="G34" s="50">
        <f t="shared" ref="G34:I34" si="18">SUM(G35:G49)</f>
        <v>1039</v>
      </c>
      <c r="H34" s="50">
        <f t="shared" si="18"/>
        <v>186</v>
      </c>
      <c r="I34" s="52">
        <f t="shared" si="18"/>
        <v>33371306.46</v>
      </c>
      <c r="J34" s="53">
        <v>0.03</v>
      </c>
      <c r="K34" s="54">
        <f>SUM(K35:K49)</f>
        <v>10011391.94</v>
      </c>
      <c r="L34" s="53">
        <v>0.3</v>
      </c>
      <c r="M34" s="50"/>
      <c r="N34" s="44"/>
      <c r="O34" s="45">
        <v>1.0</v>
      </c>
      <c r="P34" s="45" t="s">
        <v>256</v>
      </c>
      <c r="Q34" s="46" t="s">
        <v>161</v>
      </c>
      <c r="R34" s="47">
        <v>3969000.0</v>
      </c>
      <c r="S34" s="49"/>
      <c r="T34" s="44"/>
      <c r="U34" s="44"/>
      <c r="V34" s="44"/>
      <c r="W34" s="44"/>
      <c r="X34" s="57" t="s">
        <v>257</v>
      </c>
      <c r="AB34" s="44"/>
      <c r="AC34" s="44"/>
      <c r="AD34" s="44"/>
      <c r="AE34" s="45">
        <v>1.0</v>
      </c>
      <c r="AF34" s="45" t="s">
        <v>258</v>
      </c>
      <c r="AG34" s="45">
        <v>73.0</v>
      </c>
      <c r="AH34" s="47">
        <v>4011721.0</v>
      </c>
      <c r="AI34" s="44"/>
      <c r="AJ34" s="44"/>
      <c r="AK34" s="44"/>
      <c r="AL34" s="44"/>
    </row>
    <row r="35">
      <c r="A35" s="17"/>
      <c r="B35" s="13" t="s">
        <v>259</v>
      </c>
      <c r="C35" s="13">
        <v>133.0</v>
      </c>
      <c r="D35" s="13">
        <f>AE126</f>
        <v>1</v>
      </c>
      <c r="E35" s="60" t="s">
        <v>260</v>
      </c>
      <c r="F35" s="13" t="s">
        <v>261</v>
      </c>
      <c r="G35" s="13">
        <f t="shared" ref="G35:G49" si="19">C35-D35</f>
        <v>132</v>
      </c>
      <c r="H35" s="13">
        <v>1.0</v>
      </c>
      <c r="I35" s="27">
        <f>AH127*J34</f>
        <v>90750</v>
      </c>
      <c r="J35" s="17"/>
      <c r="K35" s="27">
        <f t="shared" ref="K35:K49" si="20">I35*$L$34</f>
        <v>27225</v>
      </c>
      <c r="L35" s="17"/>
      <c r="M35" s="17"/>
      <c r="O35" s="13">
        <v>1.0</v>
      </c>
      <c r="P35" s="13" t="s">
        <v>262</v>
      </c>
      <c r="Q35" s="32" t="s">
        <v>188</v>
      </c>
      <c r="R35" s="29">
        <v>4599000.0</v>
      </c>
      <c r="S35" s="17"/>
      <c r="X35" s="13" t="s">
        <v>45</v>
      </c>
      <c r="Y35" s="13" t="s">
        <v>68</v>
      </c>
      <c r="Z35" s="13" t="s">
        <v>66</v>
      </c>
      <c r="AA35" s="13" t="s">
        <v>69</v>
      </c>
      <c r="AB35" s="17"/>
      <c r="AE35" s="13">
        <v>1.0</v>
      </c>
      <c r="AF35" s="13" t="s">
        <v>263</v>
      </c>
      <c r="AG35" s="13">
        <v>78.0</v>
      </c>
      <c r="AH35" s="29">
        <v>4316625.0</v>
      </c>
    </row>
    <row r="36">
      <c r="A36" s="17"/>
      <c r="B36" s="13" t="s">
        <v>264</v>
      </c>
      <c r="C36" s="13">
        <v>309.0</v>
      </c>
      <c r="D36" s="13">
        <f>SUM(AE130:AE178)</f>
        <v>49</v>
      </c>
      <c r="E36" s="13" t="s">
        <v>265</v>
      </c>
      <c r="F36" s="13" t="s">
        <v>266</v>
      </c>
      <c r="G36" s="13">
        <f t="shared" si="19"/>
        <v>260</v>
      </c>
      <c r="H36" s="13">
        <v>34.0</v>
      </c>
      <c r="I36" s="27">
        <f>AH179*J34</f>
        <v>6576076.23</v>
      </c>
      <c r="J36" s="17"/>
      <c r="K36" s="27">
        <f t="shared" si="20"/>
        <v>1972822.869</v>
      </c>
      <c r="L36" s="17"/>
      <c r="M36" s="17"/>
      <c r="R36" s="40">
        <f>SUM(R18:R26)+SUM(S27:S32)+SUM(R33:R35)+AH392</f>
        <v>109361646.7</v>
      </c>
      <c r="X36" s="13">
        <v>5.0</v>
      </c>
      <c r="Y36" s="13" t="s">
        <v>267</v>
      </c>
      <c r="Z36" s="13">
        <v>200.0</v>
      </c>
      <c r="AA36" s="29">
        <v>643307.2</v>
      </c>
      <c r="AB36" s="27">
        <f t="shared" ref="AB36:AB45" si="21">AA36*X36</f>
        <v>3216536</v>
      </c>
      <c r="AE36" s="13">
        <v>1.0</v>
      </c>
      <c r="AF36" s="13" t="s">
        <v>268</v>
      </c>
      <c r="AG36" s="13">
        <v>73.0</v>
      </c>
      <c r="AH36" s="29">
        <v>4073360.0</v>
      </c>
    </row>
    <row r="37">
      <c r="A37" s="17"/>
      <c r="B37" s="13" t="s">
        <v>269</v>
      </c>
      <c r="C37" s="13">
        <v>58.0</v>
      </c>
      <c r="D37" s="13">
        <v>0.0</v>
      </c>
      <c r="E37" s="13"/>
      <c r="F37" s="13"/>
      <c r="G37" s="13">
        <f t="shared" si="19"/>
        <v>58</v>
      </c>
      <c r="H37" s="13">
        <v>0.0</v>
      </c>
      <c r="I37" s="13">
        <v>0.0</v>
      </c>
      <c r="J37" s="17"/>
      <c r="K37" s="17">
        <f t="shared" si="20"/>
        <v>0</v>
      </c>
      <c r="L37" s="17"/>
      <c r="M37" s="17"/>
      <c r="O37" s="9" t="s">
        <v>270</v>
      </c>
      <c r="X37" s="13">
        <v>4.0</v>
      </c>
      <c r="Y37" s="13" t="s">
        <v>267</v>
      </c>
      <c r="Z37" s="13">
        <v>160.0</v>
      </c>
      <c r="AA37" s="29">
        <v>514645.76</v>
      </c>
      <c r="AB37" s="27">
        <f t="shared" si="21"/>
        <v>2058583.04</v>
      </c>
      <c r="AE37" s="13">
        <v>1.0</v>
      </c>
      <c r="AF37" s="13" t="s">
        <v>271</v>
      </c>
      <c r="AG37" s="13">
        <v>73.0</v>
      </c>
      <c r="AH37" s="29">
        <v>4089330.0</v>
      </c>
    </row>
    <row r="38">
      <c r="A38" s="17"/>
      <c r="B38" s="13" t="s">
        <v>272</v>
      </c>
      <c r="C38" s="13">
        <v>83.0</v>
      </c>
      <c r="D38" s="13">
        <f>AE182</f>
        <v>1</v>
      </c>
      <c r="E38" s="60" t="s">
        <v>273</v>
      </c>
      <c r="F38" s="13" t="s">
        <v>274</v>
      </c>
      <c r="G38" s="13">
        <f t="shared" si="19"/>
        <v>82</v>
      </c>
      <c r="H38" s="13">
        <v>1.0</v>
      </c>
      <c r="I38" s="27">
        <f>AH183*J34</f>
        <v>160012.77</v>
      </c>
      <c r="J38" s="17"/>
      <c r="K38" s="27">
        <f t="shared" si="20"/>
        <v>48003.831</v>
      </c>
      <c r="L38" s="17"/>
      <c r="M38" s="17"/>
      <c r="O38" s="13" t="s">
        <v>45</v>
      </c>
      <c r="P38" s="13" t="s">
        <v>68</v>
      </c>
      <c r="Q38" s="13" t="s">
        <v>66</v>
      </c>
      <c r="R38" s="13" t="s">
        <v>69</v>
      </c>
      <c r="S38" s="17"/>
      <c r="X38" s="13">
        <v>13.0</v>
      </c>
      <c r="Y38" s="13" t="s">
        <v>275</v>
      </c>
      <c r="Z38" s="13">
        <v>200.0</v>
      </c>
      <c r="AA38" s="29">
        <v>662605.6</v>
      </c>
      <c r="AB38" s="27">
        <f t="shared" si="21"/>
        <v>8613872.8</v>
      </c>
      <c r="AE38" s="13">
        <v>1.0</v>
      </c>
      <c r="AF38" s="13" t="s">
        <v>276</v>
      </c>
      <c r="AG38" s="13">
        <v>81.0</v>
      </c>
      <c r="AH38" s="29">
        <v>4645884.0</v>
      </c>
    </row>
    <row r="39">
      <c r="A39" s="17"/>
      <c r="B39" s="13" t="s">
        <v>277</v>
      </c>
      <c r="C39" s="13">
        <v>27.0</v>
      </c>
      <c r="D39" s="13">
        <f>SUM(AE186:AE187)</f>
        <v>2</v>
      </c>
      <c r="E39" s="13" t="s">
        <v>278</v>
      </c>
      <c r="F39" s="13" t="s">
        <v>279</v>
      </c>
      <c r="G39" s="13">
        <f t="shared" si="19"/>
        <v>25</v>
      </c>
      <c r="H39" s="13">
        <v>1.0</v>
      </c>
      <c r="I39" s="27">
        <f>AH188*J34</f>
        <v>441482.25</v>
      </c>
      <c r="J39" s="17"/>
      <c r="K39" s="27">
        <f t="shared" si="20"/>
        <v>132444.675</v>
      </c>
      <c r="L39" s="17"/>
      <c r="M39" s="17"/>
      <c r="O39" s="13">
        <v>4.0</v>
      </c>
      <c r="P39" s="13" t="s">
        <v>280</v>
      </c>
      <c r="Q39" s="13">
        <v>300.0</v>
      </c>
      <c r="R39" s="29">
        <v>2205750.0</v>
      </c>
      <c r="S39" s="27">
        <f t="shared" ref="S39:S40" si="22">R39*O39</f>
        <v>8823000</v>
      </c>
      <c r="X39" s="13">
        <v>17.0</v>
      </c>
      <c r="Y39" s="13" t="s">
        <v>267</v>
      </c>
      <c r="Z39" s="13">
        <v>180.0</v>
      </c>
      <c r="AA39" s="29">
        <v>596345.04</v>
      </c>
      <c r="AB39" s="27">
        <f t="shared" si="21"/>
        <v>10137865.68</v>
      </c>
      <c r="AE39" s="13">
        <v>1.0</v>
      </c>
      <c r="AF39" s="13" t="s">
        <v>281</v>
      </c>
      <c r="AG39" s="13">
        <v>78.0</v>
      </c>
      <c r="AH39" s="29">
        <v>4364925.0</v>
      </c>
    </row>
    <row r="40">
      <c r="A40" s="17"/>
      <c r="B40" s="13" t="s">
        <v>282</v>
      </c>
      <c r="C40" s="13">
        <v>20.0</v>
      </c>
      <c r="D40" s="13">
        <v>0.0</v>
      </c>
      <c r="E40" s="13"/>
      <c r="F40" s="13"/>
      <c r="G40" s="13">
        <f t="shared" si="19"/>
        <v>20</v>
      </c>
      <c r="H40" s="13">
        <v>0.0</v>
      </c>
      <c r="I40" s="13">
        <v>0.0</v>
      </c>
      <c r="J40" s="17"/>
      <c r="K40" s="17">
        <f t="shared" si="20"/>
        <v>0</v>
      </c>
      <c r="L40" s="17"/>
      <c r="M40" s="17"/>
      <c r="O40" s="13">
        <v>84.0</v>
      </c>
      <c r="P40" s="13" t="s">
        <v>280</v>
      </c>
      <c r="Q40" s="13">
        <v>180.0</v>
      </c>
      <c r="R40" s="29">
        <v>1323450.0</v>
      </c>
      <c r="S40" s="27">
        <f t="shared" si="22"/>
        <v>111169800</v>
      </c>
      <c r="X40" s="13">
        <v>7.0</v>
      </c>
      <c r="Y40" s="13" t="s">
        <v>275</v>
      </c>
      <c r="Z40" s="13">
        <v>160.0</v>
      </c>
      <c r="AA40" s="29">
        <v>530084.48</v>
      </c>
      <c r="AB40" s="27">
        <f t="shared" si="21"/>
        <v>3710591.36</v>
      </c>
      <c r="AE40" s="13">
        <v>1.0</v>
      </c>
      <c r="AF40" s="13" t="s">
        <v>283</v>
      </c>
      <c r="AG40" s="13">
        <v>94.0</v>
      </c>
      <c r="AH40" s="29">
        <v>4641032.0</v>
      </c>
    </row>
    <row r="41">
      <c r="A41" s="17"/>
      <c r="B41" s="13" t="s">
        <v>284</v>
      </c>
      <c r="C41" s="13">
        <v>31.0</v>
      </c>
      <c r="D41" s="13">
        <v>0.0</v>
      </c>
      <c r="E41" s="13"/>
      <c r="F41" s="13"/>
      <c r="G41" s="13">
        <f t="shared" si="19"/>
        <v>31</v>
      </c>
      <c r="H41" s="13">
        <v>0.0</v>
      </c>
      <c r="I41" s="13">
        <v>0.0</v>
      </c>
      <c r="J41" s="17"/>
      <c r="K41" s="17">
        <f t="shared" si="20"/>
        <v>0</v>
      </c>
      <c r="L41" s="17"/>
      <c r="M41" s="17"/>
      <c r="O41" s="13">
        <v>1.0</v>
      </c>
      <c r="P41" s="13" t="s">
        <v>280</v>
      </c>
      <c r="Q41" s="32" t="s">
        <v>285</v>
      </c>
      <c r="R41" s="29">
        <v>3565595.0</v>
      </c>
      <c r="S41" s="17"/>
      <c r="X41" s="13">
        <v>2.0</v>
      </c>
      <c r="Y41" s="13" t="s">
        <v>286</v>
      </c>
      <c r="Z41" s="13">
        <v>160.0</v>
      </c>
      <c r="AA41" s="29">
        <v>694405.8</v>
      </c>
      <c r="AB41" s="27">
        <f t="shared" si="21"/>
        <v>1388811.6</v>
      </c>
      <c r="AE41" s="13">
        <v>1.0</v>
      </c>
      <c r="AF41" s="13" t="s">
        <v>287</v>
      </c>
      <c r="AG41" s="13">
        <v>81.0</v>
      </c>
      <c r="AH41" s="29">
        <v>4656817.0</v>
      </c>
    </row>
    <row r="42">
      <c r="A42" s="17"/>
      <c r="B42" s="13" t="s">
        <v>288</v>
      </c>
      <c r="C42" s="13">
        <v>213.0</v>
      </c>
      <c r="D42" s="13">
        <f>SUM(AE191:AE194)</f>
        <v>4</v>
      </c>
      <c r="E42" s="13" t="s">
        <v>289</v>
      </c>
      <c r="F42" s="13" t="s">
        <v>290</v>
      </c>
      <c r="G42" s="13">
        <f t="shared" si="19"/>
        <v>209</v>
      </c>
      <c r="H42" s="13">
        <v>2.0</v>
      </c>
      <c r="I42" s="27">
        <f>AH195*J34</f>
        <v>359754.54</v>
      </c>
      <c r="J42" s="17"/>
      <c r="K42" s="27">
        <f t="shared" si="20"/>
        <v>107926.362</v>
      </c>
      <c r="L42" s="17"/>
      <c r="M42" s="17"/>
      <c r="O42" s="13">
        <v>1.0</v>
      </c>
      <c r="P42" s="13" t="s">
        <v>291</v>
      </c>
      <c r="Q42" s="32" t="s">
        <v>292</v>
      </c>
      <c r="R42" s="29">
        <v>2671090.0</v>
      </c>
      <c r="S42" s="17"/>
      <c r="X42" s="13">
        <v>13.0</v>
      </c>
      <c r="Y42" s="13" t="s">
        <v>275</v>
      </c>
      <c r="Z42" s="13">
        <v>160.0</v>
      </c>
      <c r="AA42" s="29">
        <v>552347.68</v>
      </c>
      <c r="AB42" s="27">
        <f t="shared" si="21"/>
        <v>7180519.84</v>
      </c>
      <c r="AE42" s="13">
        <v>1.0</v>
      </c>
      <c r="AF42" s="13" t="s">
        <v>293</v>
      </c>
      <c r="AG42" s="13">
        <v>78.0</v>
      </c>
      <c r="AH42" s="29">
        <v>4462024.0</v>
      </c>
    </row>
    <row r="43">
      <c r="A43" s="17"/>
      <c r="B43" s="13" t="s">
        <v>294</v>
      </c>
      <c r="C43" s="13">
        <v>53.0</v>
      </c>
      <c r="D43" s="13">
        <f>SUM(AE198:AE212)</f>
        <v>15</v>
      </c>
      <c r="E43" s="13" t="s">
        <v>295</v>
      </c>
      <c r="F43" s="13" t="s">
        <v>296</v>
      </c>
      <c r="G43" s="13">
        <f t="shared" si="19"/>
        <v>38</v>
      </c>
      <c r="H43" s="13">
        <v>14.0</v>
      </c>
      <c r="I43" s="27">
        <f>AH213*J34</f>
        <v>3469884.15</v>
      </c>
      <c r="J43" s="17"/>
      <c r="K43" s="27">
        <f t="shared" si="20"/>
        <v>1040965.245</v>
      </c>
      <c r="L43" s="17"/>
      <c r="M43" s="17"/>
      <c r="O43" s="13">
        <v>43.0</v>
      </c>
      <c r="P43" s="13" t="s">
        <v>291</v>
      </c>
      <c r="Q43" s="32">
        <v>250.0</v>
      </c>
      <c r="R43" s="29">
        <v>1838125.0</v>
      </c>
      <c r="S43" s="27">
        <f t="shared" ref="S43:S44" si="23">R43*O43</f>
        <v>79039375</v>
      </c>
      <c r="X43" s="13">
        <v>13.0</v>
      </c>
      <c r="Y43" s="13" t="s">
        <v>267</v>
      </c>
      <c r="Z43" s="13">
        <v>126.0</v>
      </c>
      <c r="AA43" s="29">
        <v>434973.8</v>
      </c>
      <c r="AB43" s="27">
        <f t="shared" si="21"/>
        <v>5654659.4</v>
      </c>
      <c r="AE43" s="13">
        <v>1.0</v>
      </c>
      <c r="AF43" s="13" t="s">
        <v>297</v>
      </c>
      <c r="AG43" s="13">
        <v>73.0</v>
      </c>
      <c r="AH43" s="29">
        <v>4264774.0</v>
      </c>
    </row>
    <row r="44">
      <c r="A44" s="17"/>
      <c r="B44" s="13" t="s">
        <v>298</v>
      </c>
      <c r="C44" s="13">
        <v>77.0</v>
      </c>
      <c r="D44" s="13">
        <f>SUM(AE216:AE241)</f>
        <v>33</v>
      </c>
      <c r="E44" s="13" t="s">
        <v>299</v>
      </c>
      <c r="F44" s="13" t="s">
        <v>300</v>
      </c>
      <c r="G44" s="13">
        <f t="shared" si="19"/>
        <v>44</v>
      </c>
      <c r="H44" s="13">
        <v>37.0</v>
      </c>
      <c r="I44" s="27">
        <f>AH242*J34</f>
        <v>6824083.35</v>
      </c>
      <c r="J44" s="17"/>
      <c r="K44" s="27">
        <f t="shared" si="20"/>
        <v>2047225.005</v>
      </c>
      <c r="L44" s="17"/>
      <c r="M44" s="17"/>
      <c r="O44" s="13">
        <v>8.0</v>
      </c>
      <c r="P44" s="13" t="s">
        <v>301</v>
      </c>
      <c r="Q44" s="13">
        <v>180.0</v>
      </c>
      <c r="R44" s="29">
        <v>1455795.0</v>
      </c>
      <c r="S44" s="27">
        <f t="shared" si="23"/>
        <v>11646360</v>
      </c>
      <c r="X44" s="13">
        <v>2.0</v>
      </c>
      <c r="Y44" s="13" t="s">
        <v>275</v>
      </c>
      <c r="Z44" s="32" t="s">
        <v>302</v>
      </c>
      <c r="AA44" s="29">
        <v>424444.67</v>
      </c>
      <c r="AB44" s="27">
        <f t="shared" si="21"/>
        <v>848889.34</v>
      </c>
      <c r="AE44" s="13">
        <v>1.0</v>
      </c>
      <c r="AF44" s="13" t="s">
        <v>303</v>
      </c>
      <c r="AG44" s="13">
        <v>81.0</v>
      </c>
      <c r="AH44" s="29">
        <v>4573687.0</v>
      </c>
    </row>
    <row r="45">
      <c r="A45" s="17"/>
      <c r="B45" s="13" t="s">
        <v>304</v>
      </c>
      <c r="C45" s="13">
        <v>68.0</v>
      </c>
      <c r="D45" s="13">
        <f>SUM(AE245:AE290)</f>
        <v>54</v>
      </c>
      <c r="E45" s="13" t="s">
        <v>305</v>
      </c>
      <c r="F45" s="13" t="s">
        <v>306</v>
      </c>
      <c r="G45" s="13">
        <f t="shared" si="19"/>
        <v>14</v>
      </c>
      <c r="H45" s="13">
        <v>28.0</v>
      </c>
      <c r="I45" s="27">
        <f>AH291*J34</f>
        <v>7330375.5</v>
      </c>
      <c r="J45" s="17"/>
      <c r="K45" s="27">
        <f t="shared" si="20"/>
        <v>2199112.65</v>
      </c>
      <c r="L45" s="17"/>
      <c r="M45" s="17"/>
      <c r="O45" s="13">
        <v>1.0</v>
      </c>
      <c r="P45" s="13" t="s">
        <v>307</v>
      </c>
      <c r="Q45" s="32" t="s">
        <v>308</v>
      </c>
      <c r="R45" s="29">
        <v>2123961.0</v>
      </c>
      <c r="S45" s="17"/>
      <c r="X45" s="13">
        <v>3.0</v>
      </c>
      <c r="Y45" s="13" t="s">
        <v>309</v>
      </c>
      <c r="Z45" s="32" t="s">
        <v>310</v>
      </c>
      <c r="AA45" s="29">
        <v>424410.15</v>
      </c>
      <c r="AB45" s="27">
        <f t="shared" si="21"/>
        <v>1273230.45</v>
      </c>
      <c r="AE45" s="13">
        <v>1.0</v>
      </c>
      <c r="AF45" s="13" t="s">
        <v>311</v>
      </c>
      <c r="AG45" s="13">
        <v>81.0</v>
      </c>
      <c r="AH45" s="29">
        <v>4224622.0</v>
      </c>
    </row>
    <row r="46">
      <c r="A46" s="17"/>
      <c r="B46" s="13" t="s">
        <v>312</v>
      </c>
      <c r="C46" s="13">
        <v>34.0</v>
      </c>
      <c r="D46" s="13">
        <f>SUM(O129:O139)</f>
        <v>11</v>
      </c>
      <c r="E46" s="13" t="s">
        <v>313</v>
      </c>
      <c r="F46" s="13" t="s">
        <v>314</v>
      </c>
      <c r="G46" s="13">
        <f t="shared" si="19"/>
        <v>23</v>
      </c>
      <c r="H46" s="13">
        <v>3.0</v>
      </c>
      <c r="I46" s="27">
        <f>R140*J34</f>
        <v>1488969.27</v>
      </c>
      <c r="J46" s="17"/>
      <c r="K46" s="27">
        <f t="shared" si="20"/>
        <v>446690.781</v>
      </c>
      <c r="L46" s="17"/>
      <c r="M46" s="17"/>
      <c r="O46" s="13">
        <v>1.0</v>
      </c>
      <c r="P46" s="13" t="s">
        <v>309</v>
      </c>
      <c r="Q46" s="32" t="s">
        <v>315</v>
      </c>
      <c r="R46" s="29">
        <v>3459498.0</v>
      </c>
      <c r="S46" s="17"/>
      <c r="AA46" s="40">
        <f>SUM(AB36:AB45)</f>
        <v>44083559.51</v>
      </c>
      <c r="AE46" s="13">
        <v>1.0</v>
      </c>
      <c r="AF46" s="13" t="s">
        <v>316</v>
      </c>
      <c r="AG46" s="13">
        <v>103.0</v>
      </c>
      <c r="AH46" s="29">
        <v>4650000.0</v>
      </c>
    </row>
    <row r="47">
      <c r="A47" s="17"/>
      <c r="B47" s="13" t="s">
        <v>317</v>
      </c>
      <c r="C47" s="13">
        <v>41.0</v>
      </c>
      <c r="D47" s="13">
        <v>0.0</v>
      </c>
      <c r="E47" s="13"/>
      <c r="F47" s="13"/>
      <c r="G47" s="13">
        <f t="shared" si="19"/>
        <v>41</v>
      </c>
      <c r="H47" s="13">
        <v>22.0</v>
      </c>
      <c r="I47" s="13">
        <v>0.0</v>
      </c>
      <c r="J47" s="17"/>
      <c r="K47" s="17">
        <f t="shared" si="20"/>
        <v>0</v>
      </c>
      <c r="L47" s="17"/>
      <c r="M47" s="17"/>
      <c r="O47" s="13">
        <v>1.0</v>
      </c>
      <c r="P47" s="13" t="s">
        <v>307</v>
      </c>
      <c r="Q47" s="32" t="s">
        <v>318</v>
      </c>
      <c r="R47" s="29">
        <v>2458165.0</v>
      </c>
      <c r="S47" s="17"/>
      <c r="AE47" s="13">
        <v>1.0</v>
      </c>
      <c r="AF47" s="13" t="s">
        <v>319</v>
      </c>
      <c r="AG47" s="13">
        <v>81.0</v>
      </c>
      <c r="AH47" s="29">
        <v>4171806.0</v>
      </c>
    </row>
    <row r="48">
      <c r="A48" s="17"/>
      <c r="B48" s="13" t="s">
        <v>320</v>
      </c>
      <c r="C48" s="13">
        <v>63.0</v>
      </c>
      <c r="D48" s="13">
        <f>SUM(O143:O180)</f>
        <v>42</v>
      </c>
      <c r="E48" s="13" t="s">
        <v>321</v>
      </c>
      <c r="F48" s="13" t="s">
        <v>322</v>
      </c>
      <c r="G48" s="13">
        <f t="shared" si="19"/>
        <v>21</v>
      </c>
      <c r="H48" s="13">
        <v>23.0</v>
      </c>
      <c r="I48" s="27">
        <f>R181*J34</f>
        <v>5268912.24</v>
      </c>
      <c r="J48" s="17"/>
      <c r="K48" s="27">
        <f t="shared" si="20"/>
        <v>1580673.672</v>
      </c>
      <c r="L48" s="17"/>
      <c r="M48" s="17"/>
      <c r="O48" s="13">
        <v>1.0</v>
      </c>
      <c r="P48" s="13" t="s">
        <v>309</v>
      </c>
      <c r="Q48" s="32" t="s">
        <v>323</v>
      </c>
      <c r="R48" s="29">
        <v>3650516.0</v>
      </c>
      <c r="S48" s="17"/>
      <c r="AE48" s="13">
        <v>1.0</v>
      </c>
      <c r="AF48" s="13" t="s">
        <v>324</v>
      </c>
      <c r="AG48" s="13">
        <v>78.0</v>
      </c>
      <c r="AH48" s="29">
        <v>4118756.0</v>
      </c>
    </row>
    <row r="49">
      <c r="A49" s="17"/>
      <c r="B49" s="13" t="s">
        <v>325</v>
      </c>
      <c r="C49" s="13">
        <v>76.0</v>
      </c>
      <c r="D49" s="13">
        <f>SUM(O184:O218)</f>
        <v>35</v>
      </c>
      <c r="E49" s="13" t="s">
        <v>326</v>
      </c>
      <c r="F49" s="13" t="s">
        <v>327</v>
      </c>
      <c r="G49" s="13">
        <f t="shared" si="19"/>
        <v>41</v>
      </c>
      <c r="H49" s="13">
        <v>20.0</v>
      </c>
      <c r="I49" s="27">
        <f>R219*J34</f>
        <v>1361006.16</v>
      </c>
      <c r="J49" s="17"/>
      <c r="K49" s="27">
        <f t="shared" si="20"/>
        <v>408301.848</v>
      </c>
      <c r="L49" s="17"/>
      <c r="M49" s="17"/>
      <c r="O49" s="13">
        <v>1.0</v>
      </c>
      <c r="P49" s="13" t="s">
        <v>307</v>
      </c>
      <c r="Q49" s="32" t="s">
        <v>328</v>
      </c>
      <c r="R49" s="29">
        <v>1417415.0</v>
      </c>
      <c r="S49" s="17"/>
      <c r="X49" s="9" t="s">
        <v>329</v>
      </c>
      <c r="AE49" s="13">
        <v>1.0</v>
      </c>
      <c r="AF49" s="13" t="s">
        <v>330</v>
      </c>
      <c r="AG49" s="13">
        <v>73.0</v>
      </c>
      <c r="AH49" s="29">
        <v>3809445.0</v>
      </c>
    </row>
    <row r="50">
      <c r="A50" s="50"/>
      <c r="B50" s="51" t="s">
        <v>331</v>
      </c>
      <c r="C50" s="51"/>
      <c r="D50" s="50">
        <f>SUM(D51:D52)</f>
        <v>73</v>
      </c>
      <c r="E50" s="50"/>
      <c r="F50" s="50"/>
      <c r="G50" s="50">
        <f t="shared" ref="G50:I50" si="24">SUM(G51:G52)</f>
        <v>502</v>
      </c>
      <c r="H50" s="50">
        <f t="shared" si="24"/>
        <v>70</v>
      </c>
      <c r="I50" s="52">
        <f t="shared" si="24"/>
        <v>10340195.82</v>
      </c>
      <c r="J50" s="53">
        <v>0.03</v>
      </c>
      <c r="K50" s="54">
        <f>SUM(K51:K52)</f>
        <v>3102058.746</v>
      </c>
      <c r="L50" s="53">
        <v>0.3</v>
      </c>
      <c r="M50" s="50"/>
      <c r="N50" s="44"/>
      <c r="O50" s="45">
        <v>2.0</v>
      </c>
      <c r="P50" s="45" t="s">
        <v>332</v>
      </c>
      <c r="Q50" s="46">
        <v>300.0</v>
      </c>
      <c r="R50" s="47">
        <v>2514555.0</v>
      </c>
      <c r="S50" s="48">
        <f t="shared" ref="S50:S54" si="25">R50*O50</f>
        <v>5029110</v>
      </c>
      <c r="T50" s="44"/>
      <c r="U50" s="44"/>
      <c r="V50" s="44"/>
      <c r="W50" s="44"/>
      <c r="X50" s="45" t="s">
        <v>45</v>
      </c>
      <c r="Y50" s="45" t="s">
        <v>68</v>
      </c>
      <c r="Z50" s="45" t="s">
        <v>66</v>
      </c>
      <c r="AA50" s="45" t="s">
        <v>69</v>
      </c>
      <c r="AB50" s="49"/>
      <c r="AC50" s="44"/>
      <c r="AD50" s="44"/>
      <c r="AE50" s="45">
        <v>1.0</v>
      </c>
      <c r="AF50" s="45" t="s">
        <v>333</v>
      </c>
      <c r="AG50" s="45">
        <v>123.0</v>
      </c>
      <c r="AH50" s="47">
        <v>6127345.0</v>
      </c>
      <c r="AI50" s="44"/>
      <c r="AJ50" s="44"/>
      <c r="AK50" s="44"/>
      <c r="AL50" s="44"/>
    </row>
    <row r="51">
      <c r="A51" s="17"/>
      <c r="B51" s="13" t="s">
        <v>334</v>
      </c>
      <c r="C51" s="13">
        <v>323.0</v>
      </c>
      <c r="D51" s="13">
        <f>SUM(O222:O257)</f>
        <v>36</v>
      </c>
      <c r="E51" s="13" t="s">
        <v>335</v>
      </c>
      <c r="F51" s="13" t="s">
        <v>336</v>
      </c>
      <c r="G51" s="13">
        <f t="shared" ref="G51:G52" si="26">C51-D51</f>
        <v>287</v>
      </c>
      <c r="H51" s="13">
        <v>61.0</v>
      </c>
      <c r="I51" s="27">
        <f>R258*J50</f>
        <v>6880839.72</v>
      </c>
      <c r="J51" s="17"/>
      <c r="K51" s="27">
        <f t="shared" ref="K51:K52" si="27">I51*$L$50</f>
        <v>2064251.916</v>
      </c>
      <c r="L51" s="17"/>
      <c r="M51" s="17"/>
      <c r="O51" s="13">
        <v>25.0</v>
      </c>
      <c r="P51" s="13" t="s">
        <v>337</v>
      </c>
      <c r="Q51" s="32">
        <v>310.0</v>
      </c>
      <c r="R51" s="29">
        <v>2598374.0</v>
      </c>
      <c r="S51" s="27">
        <f t="shared" si="25"/>
        <v>64959350</v>
      </c>
      <c r="X51" s="13">
        <v>1.0</v>
      </c>
      <c r="Y51" s="13" t="s">
        <v>338</v>
      </c>
      <c r="Z51" s="32" t="s">
        <v>339</v>
      </c>
      <c r="AA51" s="29">
        <v>2563323.88</v>
      </c>
      <c r="AB51" s="17"/>
      <c r="AE51" s="13">
        <v>1.0</v>
      </c>
      <c r="AF51" s="13" t="s">
        <v>340</v>
      </c>
      <c r="AG51" s="13">
        <v>117.0</v>
      </c>
      <c r="AH51" s="29">
        <v>6086714.0</v>
      </c>
    </row>
    <row r="52">
      <c r="A52" s="17"/>
      <c r="B52" s="13" t="s">
        <v>341</v>
      </c>
      <c r="C52" s="13">
        <v>252.0</v>
      </c>
      <c r="D52" s="13">
        <f>SUM(O261:O297)</f>
        <v>37</v>
      </c>
      <c r="E52" s="13" t="s">
        <v>342</v>
      </c>
      <c r="F52" s="13" t="s">
        <v>343</v>
      </c>
      <c r="G52" s="13">
        <f t="shared" si="26"/>
        <v>215</v>
      </c>
      <c r="H52" s="13">
        <v>9.0</v>
      </c>
      <c r="I52" s="27">
        <f>R298*J50</f>
        <v>3459356.1</v>
      </c>
      <c r="J52" s="17"/>
      <c r="K52" s="27">
        <f t="shared" si="27"/>
        <v>1037806.83</v>
      </c>
      <c r="L52" s="17"/>
      <c r="M52" s="17"/>
      <c r="O52" s="13">
        <v>4.0</v>
      </c>
      <c r="P52" s="13" t="s">
        <v>301</v>
      </c>
      <c r="Q52" s="32">
        <v>250.0</v>
      </c>
      <c r="R52" s="29">
        <v>2021938.0</v>
      </c>
      <c r="S52" s="27">
        <f t="shared" si="25"/>
        <v>8087752</v>
      </c>
      <c r="X52" s="13">
        <v>1.0</v>
      </c>
      <c r="Y52" s="13" t="s">
        <v>344</v>
      </c>
      <c r="Z52" s="32" t="s">
        <v>345</v>
      </c>
      <c r="AA52" s="29">
        <v>2180126.72</v>
      </c>
      <c r="AB52" s="17"/>
      <c r="AE52" s="13">
        <v>1.0</v>
      </c>
      <c r="AF52" s="13" t="s">
        <v>346</v>
      </c>
      <c r="AG52" s="13">
        <v>73.0</v>
      </c>
      <c r="AH52" s="29">
        <v>3892140.0</v>
      </c>
    </row>
    <row r="53">
      <c r="A53" s="50"/>
      <c r="B53" s="51" t="s">
        <v>347</v>
      </c>
      <c r="C53" s="51"/>
      <c r="D53" s="50">
        <f>SUM(D54)</f>
        <v>72</v>
      </c>
      <c r="E53" s="50"/>
      <c r="F53" s="50"/>
      <c r="G53" s="50">
        <f t="shared" ref="G53:H53" si="28">SUM(G54)</f>
        <v>145</v>
      </c>
      <c r="H53" s="50">
        <f t="shared" si="28"/>
        <v>21</v>
      </c>
      <c r="I53" s="52">
        <f>I54</f>
        <v>16033710.15</v>
      </c>
      <c r="J53" s="53">
        <v>0.05</v>
      </c>
      <c r="K53" s="54">
        <f>K54</f>
        <v>4810113.045</v>
      </c>
      <c r="L53" s="53">
        <v>0.3</v>
      </c>
      <c r="M53" s="50"/>
      <c r="N53" s="44"/>
      <c r="O53" s="45">
        <v>4.0</v>
      </c>
      <c r="P53" s="45" t="s">
        <v>332</v>
      </c>
      <c r="Q53" s="46">
        <v>330.0</v>
      </c>
      <c r="R53" s="47">
        <v>2766011.0</v>
      </c>
      <c r="S53" s="48">
        <f t="shared" si="25"/>
        <v>11064044</v>
      </c>
      <c r="T53" s="44"/>
      <c r="U53" s="44"/>
      <c r="V53" s="44"/>
      <c r="W53" s="44"/>
      <c r="X53" s="45">
        <v>1.0</v>
      </c>
      <c r="Y53" s="45" t="s">
        <v>348</v>
      </c>
      <c r="Z53" s="46" t="s">
        <v>349</v>
      </c>
      <c r="AA53" s="47">
        <v>1727432.63</v>
      </c>
      <c r="AB53" s="49"/>
      <c r="AC53" s="44"/>
      <c r="AD53" s="44"/>
      <c r="AE53" s="45">
        <v>1.0</v>
      </c>
      <c r="AF53" s="45" t="s">
        <v>350</v>
      </c>
      <c r="AG53" s="45">
        <v>81.0</v>
      </c>
      <c r="AH53" s="47">
        <v>4348788.0</v>
      </c>
      <c r="AI53" s="44"/>
      <c r="AJ53" s="44"/>
      <c r="AK53" s="44"/>
      <c r="AL53" s="44"/>
    </row>
    <row r="54">
      <c r="A54" s="17"/>
      <c r="B54" s="13" t="s">
        <v>351</v>
      </c>
      <c r="C54" s="13">
        <v>217.0</v>
      </c>
      <c r="D54" s="13">
        <f>SUM(X211:X269)</f>
        <v>72</v>
      </c>
      <c r="E54" s="13" t="s">
        <v>352</v>
      </c>
      <c r="F54" s="13" t="s">
        <v>353</v>
      </c>
      <c r="G54" s="13">
        <f>C54-D54</f>
        <v>145</v>
      </c>
      <c r="H54" s="13">
        <v>21.0</v>
      </c>
      <c r="I54" s="29">
        <f>AA270*J53</f>
        <v>16033710.15</v>
      </c>
      <c r="J54" s="17"/>
      <c r="K54" s="27">
        <f>I54*$L$53</f>
        <v>4810113.045</v>
      </c>
      <c r="L54" s="17"/>
      <c r="M54" s="17"/>
      <c r="O54" s="13">
        <v>2.0</v>
      </c>
      <c r="P54" s="13" t="s">
        <v>309</v>
      </c>
      <c r="Q54" s="32">
        <v>225.0</v>
      </c>
      <c r="R54" s="29">
        <v>1654313.0</v>
      </c>
      <c r="S54" s="27">
        <f t="shared" si="25"/>
        <v>3308626</v>
      </c>
      <c r="X54" s="13">
        <v>1.0</v>
      </c>
      <c r="Y54" s="13" t="s">
        <v>354</v>
      </c>
      <c r="Z54" s="32" t="s">
        <v>355</v>
      </c>
      <c r="AA54" s="29">
        <v>1853995.93</v>
      </c>
      <c r="AB54" s="17"/>
      <c r="AE54" s="13">
        <v>1.0</v>
      </c>
      <c r="AF54" s="13" t="s">
        <v>356</v>
      </c>
      <c r="AG54" s="13">
        <v>68.0</v>
      </c>
      <c r="AH54" s="29">
        <v>3336000.0</v>
      </c>
    </row>
    <row r="55">
      <c r="A55" s="50"/>
      <c r="B55" s="51" t="s">
        <v>357</v>
      </c>
      <c r="C55" s="51"/>
      <c r="D55" s="50">
        <f>SUM(D56)</f>
        <v>26</v>
      </c>
      <c r="E55" s="50"/>
      <c r="F55" s="50"/>
      <c r="G55" s="50">
        <f t="shared" ref="G55:H55" si="29">SUM(G56)</f>
        <v>111</v>
      </c>
      <c r="H55" s="50">
        <f t="shared" si="29"/>
        <v>32</v>
      </c>
      <c r="I55" s="52">
        <f>I56</f>
        <v>7706385.95</v>
      </c>
      <c r="J55" s="53">
        <v>0.05</v>
      </c>
      <c r="K55" s="54">
        <f>K56</f>
        <v>2311915.785</v>
      </c>
      <c r="L55" s="53">
        <v>0.3</v>
      </c>
      <c r="M55" s="50"/>
      <c r="N55" s="44"/>
      <c r="O55" s="45">
        <v>1.0</v>
      </c>
      <c r="P55" s="45" t="s">
        <v>309</v>
      </c>
      <c r="Q55" s="46">
        <v>242.0</v>
      </c>
      <c r="R55" s="47">
        <v>1779305.0</v>
      </c>
      <c r="S55" s="49"/>
      <c r="T55" s="44"/>
      <c r="U55" s="44"/>
      <c r="V55" s="44"/>
      <c r="W55" s="44"/>
      <c r="X55" s="45">
        <v>1.0</v>
      </c>
      <c r="Y55" s="45" t="s">
        <v>358</v>
      </c>
      <c r="Z55" s="46">
        <v>280.0</v>
      </c>
      <c r="AA55" s="47">
        <v>1276009.29</v>
      </c>
      <c r="AB55" s="49"/>
      <c r="AC55" s="44"/>
      <c r="AD55" s="44"/>
      <c r="AE55" s="45">
        <v>1.0</v>
      </c>
      <c r="AF55" s="45" t="s">
        <v>359</v>
      </c>
      <c r="AG55" s="61">
        <v>81.0</v>
      </c>
      <c r="AH55" s="47">
        <v>4464421.0</v>
      </c>
      <c r="AI55" s="44"/>
      <c r="AJ55" s="44"/>
      <c r="AK55" s="44"/>
      <c r="AL55" s="44"/>
    </row>
    <row r="56">
      <c r="A56" s="17"/>
      <c r="B56" s="13" t="s">
        <v>360</v>
      </c>
      <c r="C56" s="13">
        <v>137.0</v>
      </c>
      <c r="D56" s="13">
        <f>SUM(X273:X296)</f>
        <v>26</v>
      </c>
      <c r="E56" s="13" t="s">
        <v>361</v>
      </c>
      <c r="F56" s="13" t="s">
        <v>362</v>
      </c>
      <c r="G56" s="13">
        <f>C56-D56</f>
        <v>111</v>
      </c>
      <c r="H56" s="13">
        <v>32.0</v>
      </c>
      <c r="I56" s="27">
        <f>AA297*J55</f>
        <v>7706385.95</v>
      </c>
      <c r="J56" s="17"/>
      <c r="K56" s="27">
        <f>I56*$L$55</f>
        <v>2311915.785</v>
      </c>
      <c r="L56" s="17"/>
      <c r="M56" s="17"/>
      <c r="O56" s="13">
        <v>1.0</v>
      </c>
      <c r="P56" s="13" t="s">
        <v>309</v>
      </c>
      <c r="Q56" s="32" t="s">
        <v>363</v>
      </c>
      <c r="R56" s="29">
        <v>1941942.0</v>
      </c>
      <c r="S56" s="17"/>
      <c r="X56" s="13">
        <v>1.0</v>
      </c>
      <c r="Y56" s="13" t="s">
        <v>364</v>
      </c>
      <c r="Z56" s="32">
        <v>320.0</v>
      </c>
      <c r="AA56" s="29">
        <v>1458296.33</v>
      </c>
      <c r="AB56" s="17"/>
      <c r="AH56" s="40">
        <f>SUM(AH23:AH55)</f>
        <v>144732031</v>
      </c>
    </row>
    <row r="57">
      <c r="A57" s="50"/>
      <c r="B57" s="51" t="s">
        <v>91</v>
      </c>
      <c r="C57" s="51"/>
      <c r="D57" s="50">
        <f>SUM(D58)</f>
        <v>4</v>
      </c>
      <c r="E57" s="50"/>
      <c r="F57" s="50"/>
      <c r="G57" s="50">
        <f t="shared" ref="G57:H57" si="30">SUM(G58)</f>
        <v>23</v>
      </c>
      <c r="H57" s="50">
        <f t="shared" si="30"/>
        <v>1</v>
      </c>
      <c r="I57" s="52">
        <f>I58</f>
        <v>648533.31</v>
      </c>
      <c r="J57" s="53">
        <v>0.03</v>
      </c>
      <c r="K57" s="54">
        <f>K58</f>
        <v>194559.993</v>
      </c>
      <c r="L57" s="53">
        <v>0.3</v>
      </c>
      <c r="M57" s="50"/>
      <c r="N57" s="44"/>
      <c r="O57" s="45">
        <v>4.0</v>
      </c>
      <c r="P57" s="62" t="s">
        <v>332</v>
      </c>
      <c r="Q57" s="46" t="s">
        <v>365</v>
      </c>
      <c r="R57" s="63">
        <v>3038421.0</v>
      </c>
      <c r="S57" s="48">
        <f>R57*O57</f>
        <v>12153684</v>
      </c>
      <c r="T57" s="44"/>
      <c r="U57" s="44"/>
      <c r="V57" s="44"/>
      <c r="W57" s="44"/>
      <c r="X57" s="45">
        <v>1.0</v>
      </c>
      <c r="Y57" s="45" t="s">
        <v>366</v>
      </c>
      <c r="Z57" s="46" t="s">
        <v>367</v>
      </c>
      <c r="AA57" s="47">
        <v>1233807.84</v>
      </c>
      <c r="AB57" s="49"/>
      <c r="AC57" s="44"/>
      <c r="AD57" s="44"/>
      <c r="AE57" s="57" t="s">
        <v>368</v>
      </c>
      <c r="AI57" s="44"/>
      <c r="AJ57" s="44"/>
      <c r="AK57" s="44"/>
      <c r="AL57" s="44"/>
    </row>
    <row r="58">
      <c r="A58" s="17"/>
      <c r="B58" s="13" t="s">
        <v>369</v>
      </c>
      <c r="C58" s="13">
        <v>27.0</v>
      </c>
      <c r="D58" s="13">
        <f>SUM(O81:O84)</f>
        <v>4</v>
      </c>
      <c r="E58" s="13" t="s">
        <v>370</v>
      </c>
      <c r="F58" s="13" t="s">
        <v>371</v>
      </c>
      <c r="G58" s="13">
        <f>C58-D58</f>
        <v>23</v>
      </c>
      <c r="H58" s="13">
        <v>1.0</v>
      </c>
      <c r="I58" s="27">
        <f>R85*J57</f>
        <v>648533.31</v>
      </c>
      <c r="J58" s="17"/>
      <c r="K58" s="27">
        <f>I58*$L$57</f>
        <v>194559.993</v>
      </c>
      <c r="L58" s="17"/>
      <c r="M58" s="17"/>
      <c r="R58" s="40">
        <f>SUM(S39:S40)+SUM(R41:R42)+SUM(S43:S44)+SUM(R45:R49)+SUM(S50:S54)+SUM(R55:R56)+S57</f>
        <v>338348588</v>
      </c>
      <c r="X58" s="13">
        <v>2.0</v>
      </c>
      <c r="Y58" s="13" t="s">
        <v>372</v>
      </c>
      <c r="Z58" s="32">
        <v>250.0</v>
      </c>
      <c r="AA58" s="29">
        <v>1184865.77</v>
      </c>
      <c r="AB58" s="27">
        <f>AA58*X58</f>
        <v>2369731.54</v>
      </c>
      <c r="AE58" s="13" t="s">
        <v>45</v>
      </c>
      <c r="AF58" s="13" t="s">
        <v>68</v>
      </c>
      <c r="AG58" s="13" t="s">
        <v>66</v>
      </c>
      <c r="AH58" s="13" t="s">
        <v>69</v>
      </c>
      <c r="AI58" s="17"/>
    </row>
    <row r="59">
      <c r="A59" s="50"/>
      <c r="B59" s="51" t="s">
        <v>373</v>
      </c>
      <c r="C59" s="51"/>
      <c r="D59" s="50">
        <f>SUM(D60)</f>
        <v>4</v>
      </c>
      <c r="E59" s="50"/>
      <c r="F59" s="50"/>
      <c r="G59" s="50">
        <f t="shared" ref="G59:H59" si="31">SUM(G60)</f>
        <v>72</v>
      </c>
      <c r="H59" s="50">
        <f t="shared" si="31"/>
        <v>2</v>
      </c>
      <c r="I59" s="52">
        <f>I60</f>
        <v>693787.92</v>
      </c>
      <c r="J59" s="53">
        <v>0.03</v>
      </c>
      <c r="K59" s="54">
        <f>K60</f>
        <v>208136.376</v>
      </c>
      <c r="L59" s="53">
        <v>0.3</v>
      </c>
      <c r="M59" s="50"/>
      <c r="O59" s="64" t="s">
        <v>374</v>
      </c>
      <c r="X59" s="13">
        <v>1.0</v>
      </c>
      <c r="Y59" s="13" t="s">
        <v>375</v>
      </c>
      <c r="Z59" s="13">
        <v>225.0</v>
      </c>
      <c r="AA59" s="29">
        <v>1066379.2</v>
      </c>
      <c r="AB59" s="17"/>
      <c r="AE59" s="13">
        <v>2.0</v>
      </c>
      <c r="AF59" s="13" t="s">
        <v>376</v>
      </c>
      <c r="AG59" s="13">
        <v>67.0</v>
      </c>
      <c r="AH59" s="29">
        <v>4002565.0</v>
      </c>
      <c r="AI59" s="27">
        <f>AH59*AE59</f>
        <v>8005130</v>
      </c>
    </row>
    <row r="60">
      <c r="A60" s="17"/>
      <c r="B60" s="13" t="s">
        <v>377</v>
      </c>
      <c r="C60" s="13">
        <v>76.0</v>
      </c>
      <c r="D60" s="13">
        <f>SUM(O88:O92)</f>
        <v>4</v>
      </c>
      <c r="E60" s="13" t="s">
        <v>378</v>
      </c>
      <c r="F60" s="13" t="s">
        <v>379</v>
      </c>
      <c r="G60" s="13">
        <f>C60-D60</f>
        <v>72</v>
      </c>
      <c r="H60" s="13">
        <v>2.0</v>
      </c>
      <c r="I60" s="27">
        <f>R93*J59</f>
        <v>693787.92</v>
      </c>
      <c r="J60" s="17"/>
      <c r="K60" s="27">
        <f>I60*$L$59</f>
        <v>208136.376</v>
      </c>
      <c r="L60" s="17"/>
      <c r="M60" s="17"/>
      <c r="O60" s="65" t="s">
        <v>45</v>
      </c>
      <c r="P60" s="65" t="s">
        <v>68</v>
      </c>
      <c r="Q60" s="65" t="s">
        <v>66</v>
      </c>
      <c r="R60" s="65" t="s">
        <v>69</v>
      </c>
      <c r="X60" s="13">
        <v>7.0</v>
      </c>
      <c r="Y60" s="13" t="s">
        <v>380</v>
      </c>
      <c r="Z60" s="32">
        <v>200.0</v>
      </c>
      <c r="AA60" s="29">
        <v>947892.62</v>
      </c>
      <c r="AB60" s="27">
        <f>AA60*X60</f>
        <v>6635248.34</v>
      </c>
      <c r="AE60" s="13">
        <v>1.0</v>
      </c>
      <c r="AF60" s="13" t="s">
        <v>381</v>
      </c>
      <c r="AG60" s="13">
        <v>71.0</v>
      </c>
      <c r="AH60" s="29">
        <v>3683266.0</v>
      </c>
      <c r="AI60" s="17"/>
    </row>
    <row r="61">
      <c r="A61" s="50"/>
      <c r="B61" s="51" t="s">
        <v>382</v>
      </c>
      <c r="C61" s="51"/>
      <c r="D61" s="50">
        <f>SUM(D62:D63)</f>
        <v>39</v>
      </c>
      <c r="E61" s="50"/>
      <c r="F61" s="50"/>
      <c r="G61" s="50">
        <f t="shared" ref="G61:I61" si="32">SUM(G62:G63)</f>
        <v>39</v>
      </c>
      <c r="H61" s="50">
        <f t="shared" si="32"/>
        <v>7</v>
      </c>
      <c r="I61" s="52">
        <f t="shared" si="32"/>
        <v>4577265.711</v>
      </c>
      <c r="J61" s="53">
        <v>0.03</v>
      </c>
      <c r="K61" s="54">
        <f>SUM(K62:K63)</f>
        <v>1373179.713</v>
      </c>
      <c r="L61" s="53">
        <v>0.3</v>
      </c>
      <c r="M61" s="50"/>
      <c r="O61" s="66">
        <v>1.0</v>
      </c>
      <c r="P61" s="67" t="s">
        <v>309</v>
      </c>
      <c r="Q61" s="68" t="s">
        <v>383</v>
      </c>
      <c r="R61" s="69">
        <v>4755763.2</v>
      </c>
      <c r="X61" s="13">
        <v>1.0</v>
      </c>
      <c r="Y61" s="13" t="s">
        <v>384</v>
      </c>
      <c r="Z61" s="32" t="s">
        <v>385</v>
      </c>
      <c r="AA61" s="29">
        <v>1583170.25</v>
      </c>
      <c r="AB61" s="17"/>
      <c r="AE61" s="13">
        <v>1.0</v>
      </c>
      <c r="AF61" s="13" t="s">
        <v>386</v>
      </c>
      <c r="AG61" s="13">
        <v>73.0</v>
      </c>
      <c r="AH61" s="29">
        <v>4469370.0</v>
      </c>
      <c r="AI61" s="17"/>
    </row>
    <row r="62">
      <c r="A62" s="17"/>
      <c r="B62" s="13" t="s">
        <v>387</v>
      </c>
      <c r="C62" s="13">
        <v>49.0</v>
      </c>
      <c r="D62" s="13">
        <f>SUM(AE293:AE300)</f>
        <v>10</v>
      </c>
      <c r="E62" s="13" t="s">
        <v>388</v>
      </c>
      <c r="F62" s="13" t="s">
        <v>389</v>
      </c>
      <c r="G62" s="13">
        <f t="shared" ref="G62:G63" si="33">C62-D62</f>
        <v>39</v>
      </c>
      <c r="H62" s="13">
        <v>2.0</v>
      </c>
      <c r="I62" s="27">
        <f>AH301*J61</f>
        <v>835699.551</v>
      </c>
      <c r="J62" s="17"/>
      <c r="K62" s="27">
        <f t="shared" ref="K62:K63" si="34">I62*$L$61</f>
        <v>250709.8653</v>
      </c>
      <c r="L62" s="17"/>
      <c r="M62" s="17"/>
      <c r="O62" s="66">
        <v>1.0</v>
      </c>
      <c r="P62" s="65" t="s">
        <v>390</v>
      </c>
      <c r="Q62" s="66" t="s">
        <v>391</v>
      </c>
      <c r="R62" s="69">
        <v>4718880.0</v>
      </c>
      <c r="X62" s="13">
        <v>1.0</v>
      </c>
      <c r="Y62" s="13" t="s">
        <v>392</v>
      </c>
      <c r="Z62" s="32" t="s">
        <v>393</v>
      </c>
      <c r="AA62" s="29">
        <v>949930.58</v>
      </c>
      <c r="AB62" s="17"/>
      <c r="AE62" s="13">
        <v>1.0</v>
      </c>
      <c r="AF62" s="13" t="s">
        <v>394</v>
      </c>
      <c r="AG62" s="13">
        <v>44.0</v>
      </c>
      <c r="AH62" s="29">
        <v>3161919.0</v>
      </c>
      <c r="AI62" s="17"/>
    </row>
    <row r="63">
      <c r="A63" s="17"/>
      <c r="B63" s="13" t="s">
        <v>395</v>
      </c>
      <c r="C63" s="13">
        <v>29.0</v>
      </c>
      <c r="D63" s="13">
        <f>SUM(X300:X328)</f>
        <v>29</v>
      </c>
      <c r="E63" s="13" t="s">
        <v>396</v>
      </c>
      <c r="F63" s="13" t="s">
        <v>397</v>
      </c>
      <c r="G63" s="13">
        <f t="shared" si="33"/>
        <v>0</v>
      </c>
      <c r="H63" s="13">
        <v>5.0</v>
      </c>
      <c r="I63" s="27">
        <f>AA329*J61</f>
        <v>3741566.16</v>
      </c>
      <c r="J63" s="17"/>
      <c r="K63" s="27">
        <f t="shared" si="34"/>
        <v>1122469.848</v>
      </c>
      <c r="L63" s="17"/>
      <c r="M63" s="17"/>
      <c r="O63" s="66">
        <v>1.0</v>
      </c>
      <c r="P63" s="67" t="s">
        <v>390</v>
      </c>
      <c r="Q63" s="68" t="s">
        <v>398</v>
      </c>
      <c r="R63" s="69">
        <v>4934120.0</v>
      </c>
      <c r="X63" s="13">
        <v>1.0</v>
      </c>
      <c r="Y63" s="13" t="s">
        <v>399</v>
      </c>
      <c r="Z63" s="32" t="s">
        <v>400</v>
      </c>
      <c r="AA63" s="29">
        <v>1633711.97</v>
      </c>
      <c r="AB63" s="17"/>
      <c r="AE63" s="13">
        <v>1.0</v>
      </c>
      <c r="AF63" s="13" t="s">
        <v>401</v>
      </c>
      <c r="AG63" s="13">
        <v>67.0</v>
      </c>
      <c r="AH63" s="29">
        <v>4036200.0</v>
      </c>
      <c r="AI63" s="17"/>
    </row>
    <row r="64">
      <c r="A64" s="50"/>
      <c r="B64" s="51" t="s">
        <v>402</v>
      </c>
      <c r="C64" s="51"/>
      <c r="D64" s="50">
        <f>SUM(D65:D66)</f>
        <v>46</v>
      </c>
      <c r="E64" s="50"/>
      <c r="F64" s="50"/>
      <c r="G64" s="50">
        <f t="shared" ref="G64:I64" si="35">SUM(G65:G66)</f>
        <v>6</v>
      </c>
      <c r="H64" s="50">
        <f t="shared" si="35"/>
        <v>5</v>
      </c>
      <c r="I64" s="52">
        <f t="shared" si="35"/>
        <v>23624228.8</v>
      </c>
      <c r="J64" s="53">
        <v>0.05</v>
      </c>
      <c r="K64" s="54">
        <f>SUM(K65:K66)</f>
        <v>7087268.64</v>
      </c>
      <c r="L64" s="53">
        <v>0.3</v>
      </c>
      <c r="M64" s="50"/>
      <c r="O64" s="66">
        <v>1.0</v>
      </c>
      <c r="P64" s="65" t="s">
        <v>390</v>
      </c>
      <c r="Q64" s="66" t="s">
        <v>403</v>
      </c>
      <c r="R64" s="69">
        <v>4744402.5</v>
      </c>
      <c r="X64" s="13">
        <v>1.0</v>
      </c>
      <c r="Y64" s="13" t="s">
        <v>404</v>
      </c>
      <c r="Z64" s="32" t="s">
        <v>405</v>
      </c>
      <c r="AA64" s="29">
        <v>1570350.76</v>
      </c>
      <c r="AB64" s="17"/>
      <c r="AE64" s="13">
        <v>1.0</v>
      </c>
      <c r="AF64" s="13" t="s">
        <v>406</v>
      </c>
      <c r="AG64" s="13">
        <v>73.0</v>
      </c>
      <c r="AH64" s="29">
        <v>4648055.0</v>
      </c>
      <c r="AI64" s="17"/>
    </row>
    <row r="65">
      <c r="A65" s="17"/>
      <c r="B65" s="13" t="s">
        <v>407</v>
      </c>
      <c r="C65" s="13">
        <v>28.0</v>
      </c>
      <c r="D65" s="13">
        <f>SUM(O301:O323)</f>
        <v>26</v>
      </c>
      <c r="E65" s="13" t="s">
        <v>408</v>
      </c>
      <c r="F65" s="13" t="s">
        <v>409</v>
      </c>
      <c r="G65" s="13">
        <f t="shared" ref="G65:G66" si="36">C65-D65</f>
        <v>2</v>
      </c>
      <c r="H65" s="13">
        <v>4.0</v>
      </c>
      <c r="I65" s="27">
        <f>R324*J64</f>
        <v>16532292.9</v>
      </c>
      <c r="J65" s="17"/>
      <c r="K65" s="27">
        <f t="shared" ref="K65:K66" si="37">I65*$L$64</f>
        <v>4959687.87</v>
      </c>
      <c r="L65" s="17"/>
      <c r="M65" s="17"/>
      <c r="O65" s="70"/>
      <c r="P65" s="71"/>
      <c r="Q65" s="72"/>
      <c r="R65" s="73">
        <f>SUM(R61:R64)</f>
        <v>19153165.7</v>
      </c>
      <c r="X65" s="13">
        <v>1.0</v>
      </c>
      <c r="Y65" s="13" t="s">
        <v>410</v>
      </c>
      <c r="Z65" s="32" t="s">
        <v>411</v>
      </c>
      <c r="AA65" s="29">
        <v>1530052.43</v>
      </c>
      <c r="AB65" s="17"/>
      <c r="AE65" s="13">
        <v>1.0</v>
      </c>
      <c r="AF65" s="13" t="s">
        <v>412</v>
      </c>
      <c r="AG65" s="13">
        <v>43.0</v>
      </c>
      <c r="AH65" s="29">
        <v>3392602.0</v>
      </c>
      <c r="AI65" s="17"/>
    </row>
    <row r="66">
      <c r="A66" s="17"/>
      <c r="B66" s="13" t="s">
        <v>413</v>
      </c>
      <c r="C66" s="13">
        <v>24.0</v>
      </c>
      <c r="D66" s="13">
        <f>SUM(AE304:AE322)</f>
        <v>20</v>
      </c>
      <c r="E66" s="13" t="s">
        <v>414</v>
      </c>
      <c r="F66" s="13" t="s">
        <v>415</v>
      </c>
      <c r="G66" s="13">
        <f t="shared" si="36"/>
        <v>4</v>
      </c>
      <c r="H66" s="13">
        <v>1.0</v>
      </c>
      <c r="I66" s="27">
        <f>AH323*J64</f>
        <v>7091935.9</v>
      </c>
      <c r="J66" s="17"/>
      <c r="K66" s="27">
        <f t="shared" si="37"/>
        <v>2127580.77</v>
      </c>
      <c r="L66" s="17"/>
      <c r="M66" s="17"/>
      <c r="O66" s="9" t="s">
        <v>416</v>
      </c>
      <c r="X66" s="13">
        <v>1.0</v>
      </c>
      <c r="Y66" s="13" t="s">
        <v>417</v>
      </c>
      <c r="Z66" s="32" t="s">
        <v>418</v>
      </c>
      <c r="AA66" s="29">
        <v>1506199.37</v>
      </c>
      <c r="AB66" s="17"/>
      <c r="AE66" s="13">
        <v>1.0</v>
      </c>
      <c r="AF66" s="13" t="s">
        <v>419</v>
      </c>
      <c r="AG66" s="13">
        <v>44.0</v>
      </c>
      <c r="AH66" s="29">
        <v>3322332.0</v>
      </c>
      <c r="AI66" s="17"/>
    </row>
    <row r="67">
      <c r="A67" s="50"/>
      <c r="B67" s="51" t="s">
        <v>420</v>
      </c>
      <c r="C67" s="51"/>
      <c r="D67" s="50">
        <f>SUM(D68)</f>
        <v>11</v>
      </c>
      <c r="E67" s="50"/>
      <c r="F67" s="50"/>
      <c r="G67" s="50">
        <f t="shared" ref="G67:H67" si="38">SUM(G68)</f>
        <v>5</v>
      </c>
      <c r="H67" s="50">
        <f t="shared" si="38"/>
        <v>1</v>
      </c>
      <c r="I67" s="52">
        <f>I68</f>
        <v>3643337</v>
      </c>
      <c r="J67" s="53">
        <v>0.05</v>
      </c>
      <c r="K67" s="54">
        <f>K68</f>
        <v>1093001.1</v>
      </c>
      <c r="L67" s="53">
        <v>0.3</v>
      </c>
      <c r="M67" s="50"/>
      <c r="O67" s="13" t="s">
        <v>45</v>
      </c>
      <c r="P67" s="13" t="s">
        <v>68</v>
      </c>
      <c r="Q67" s="13" t="s">
        <v>66</v>
      </c>
      <c r="R67" s="13" t="s">
        <v>69</v>
      </c>
      <c r="S67" s="17"/>
      <c r="X67" s="13">
        <v>1.0</v>
      </c>
      <c r="Y67" s="13" t="s">
        <v>421</v>
      </c>
      <c r="Z67" s="32" t="s">
        <v>422</v>
      </c>
      <c r="AA67" s="29">
        <v>1491976.44</v>
      </c>
      <c r="AB67" s="17"/>
      <c r="AE67" s="13">
        <v>1.0</v>
      </c>
      <c r="AF67" s="13" t="s">
        <v>423</v>
      </c>
      <c r="AG67" s="13">
        <v>49.0</v>
      </c>
      <c r="AH67" s="29">
        <v>3342138.0</v>
      </c>
      <c r="AI67" s="17"/>
    </row>
    <row r="68">
      <c r="A68" s="17"/>
      <c r="B68" s="13" t="s">
        <v>424</v>
      </c>
      <c r="C68" s="13">
        <v>16.0</v>
      </c>
      <c r="D68" s="13">
        <f>SUM(O327:O333)</f>
        <v>11</v>
      </c>
      <c r="E68" s="13" t="s">
        <v>425</v>
      </c>
      <c r="F68" s="13" t="s">
        <v>426</v>
      </c>
      <c r="G68" s="13">
        <f>C68-D68</f>
        <v>5</v>
      </c>
      <c r="H68" s="13">
        <v>1.0</v>
      </c>
      <c r="I68" s="27">
        <f>R334*J67</f>
        <v>3643337</v>
      </c>
      <c r="J68" s="17"/>
      <c r="K68" s="74">
        <f>I68*$L$67</f>
        <v>1093001.1</v>
      </c>
      <c r="L68" s="17"/>
      <c r="M68" s="17"/>
      <c r="O68" s="13">
        <v>1.0</v>
      </c>
      <c r="P68" s="13" t="s">
        <v>427</v>
      </c>
      <c r="Q68" s="32" t="s">
        <v>428</v>
      </c>
      <c r="R68" s="29">
        <v>3398000.0</v>
      </c>
      <c r="S68" s="17"/>
      <c r="X68" s="13">
        <v>1.0</v>
      </c>
      <c r="Y68" s="13" t="s">
        <v>429</v>
      </c>
      <c r="Z68" s="32" t="s">
        <v>430</v>
      </c>
      <c r="AA68" s="29">
        <v>1485457.59</v>
      </c>
      <c r="AB68" s="17"/>
      <c r="AE68" s="13">
        <v>1.0</v>
      </c>
      <c r="AF68" s="13" t="s">
        <v>431</v>
      </c>
      <c r="AG68" s="13">
        <v>43.0</v>
      </c>
      <c r="AH68" s="29">
        <v>3159984.0</v>
      </c>
      <c r="AI68" s="17"/>
    </row>
    <row r="69">
      <c r="A69" s="38"/>
      <c r="B69" s="21" t="s">
        <v>432</v>
      </c>
      <c r="C69" s="21"/>
      <c r="D69" s="39">
        <f>SUM(D70:D71)</f>
        <v>72</v>
      </c>
      <c r="E69" s="39"/>
      <c r="F69" s="39"/>
      <c r="G69" s="39">
        <f t="shared" ref="G69:I69" si="39">SUM(G70:G71)</f>
        <v>51</v>
      </c>
      <c r="H69" s="39">
        <f t="shared" si="39"/>
        <v>1</v>
      </c>
      <c r="I69" s="40">
        <f t="shared" si="39"/>
        <v>1953304.4</v>
      </c>
      <c r="J69" s="23">
        <v>0.04</v>
      </c>
      <c r="K69" s="24">
        <f>SUM(K70:K71)</f>
        <v>585991.32</v>
      </c>
      <c r="L69" s="23">
        <v>0.3</v>
      </c>
      <c r="M69" s="38"/>
      <c r="O69" s="13">
        <v>1.0</v>
      </c>
      <c r="P69" s="13" t="s">
        <v>433</v>
      </c>
      <c r="Q69" s="32" t="s">
        <v>434</v>
      </c>
      <c r="R69" s="29">
        <v>3398000.0</v>
      </c>
      <c r="S69" s="17"/>
      <c r="X69" s="13">
        <v>1.0</v>
      </c>
      <c r="Y69" s="13" t="s">
        <v>435</v>
      </c>
      <c r="Z69" s="32" t="s">
        <v>436</v>
      </c>
      <c r="AA69" s="29">
        <v>1482988.33</v>
      </c>
      <c r="AB69" s="17"/>
      <c r="AE69" s="13">
        <v>1.0</v>
      </c>
      <c r="AF69" s="13" t="s">
        <v>437</v>
      </c>
      <c r="AG69" s="13">
        <v>49.0</v>
      </c>
      <c r="AH69" s="29">
        <v>3384971.0</v>
      </c>
      <c r="AI69" s="17"/>
    </row>
    <row r="70">
      <c r="A70" s="49"/>
      <c r="B70" s="45" t="s">
        <v>438</v>
      </c>
      <c r="C70" s="45">
        <v>64.0</v>
      </c>
      <c r="D70" s="45">
        <f>SUM(X332:X345)</f>
        <v>14</v>
      </c>
      <c r="E70" s="45" t="s">
        <v>439</v>
      </c>
      <c r="F70" s="45" t="s">
        <v>440</v>
      </c>
      <c r="G70" s="45">
        <f t="shared" ref="G70:G72" si="40">C70-D70</f>
        <v>50</v>
      </c>
      <c r="H70" s="45">
        <v>1.0</v>
      </c>
      <c r="I70" s="27">
        <f>AA346*J69</f>
        <v>439855.44</v>
      </c>
      <c r="J70" s="17"/>
      <c r="K70" s="27">
        <f t="shared" ref="K70:K71" si="41">I70*$L$69</f>
        <v>131956.632</v>
      </c>
      <c r="L70" s="17"/>
      <c r="M70" s="30">
        <v>46049.0</v>
      </c>
      <c r="N70" s="31"/>
      <c r="O70" s="13">
        <v>1.0</v>
      </c>
      <c r="P70" s="13" t="s">
        <v>441</v>
      </c>
      <c r="Q70" s="32" t="s">
        <v>442</v>
      </c>
      <c r="R70" s="29">
        <v>4850000.0</v>
      </c>
      <c r="S70" s="17"/>
      <c r="X70" s="13">
        <v>1.0</v>
      </c>
      <c r="Y70" s="13" t="s">
        <v>443</v>
      </c>
      <c r="Z70" s="32" t="s">
        <v>444</v>
      </c>
      <c r="AA70" s="29">
        <v>1548570.1</v>
      </c>
      <c r="AB70" s="17"/>
      <c r="AE70" s="13">
        <v>1.0</v>
      </c>
      <c r="AF70" s="13" t="s">
        <v>445</v>
      </c>
      <c r="AG70" s="13">
        <v>73.0</v>
      </c>
      <c r="AH70" s="29">
        <v>4909151.0</v>
      </c>
      <c r="AI70" s="17"/>
    </row>
    <row r="71">
      <c r="A71" s="49"/>
      <c r="B71" s="45" t="s">
        <v>446</v>
      </c>
      <c r="C71" s="45">
        <v>59.0</v>
      </c>
      <c r="D71" s="45">
        <v>58.0</v>
      </c>
      <c r="E71" s="45" t="s">
        <v>447</v>
      </c>
      <c r="F71" s="45" t="s">
        <v>448</v>
      </c>
      <c r="G71" s="45">
        <f t="shared" si="40"/>
        <v>1</v>
      </c>
      <c r="H71" s="45">
        <v>0.0</v>
      </c>
      <c r="I71" s="27">
        <f>AH382*J69</f>
        <v>1513448.96</v>
      </c>
      <c r="J71" s="17"/>
      <c r="K71" s="27">
        <f t="shared" si="41"/>
        <v>454034.688</v>
      </c>
      <c r="L71" s="17"/>
      <c r="M71" s="30">
        <v>45912.0</v>
      </c>
      <c r="N71" s="31"/>
      <c r="O71" s="13">
        <v>2.0</v>
      </c>
      <c r="P71" s="13" t="s">
        <v>449</v>
      </c>
      <c r="Q71" s="32" t="s">
        <v>434</v>
      </c>
      <c r="R71" s="29">
        <v>3498000.0</v>
      </c>
      <c r="S71" s="27">
        <f t="shared" ref="S71:S73" si="42">R71*O71</f>
        <v>6996000</v>
      </c>
      <c r="X71" s="13">
        <v>13.0</v>
      </c>
      <c r="Y71" s="13" t="s">
        <v>450</v>
      </c>
      <c r="Z71" s="32" t="s">
        <v>451</v>
      </c>
      <c r="AA71" s="29">
        <v>987704.1</v>
      </c>
      <c r="AB71" s="27">
        <f>AA71*X71</f>
        <v>12840153.3</v>
      </c>
      <c r="AE71" s="13">
        <v>1.0</v>
      </c>
      <c r="AF71" s="13" t="s">
        <v>452</v>
      </c>
      <c r="AG71" s="13">
        <v>43.0</v>
      </c>
      <c r="AH71" s="29">
        <v>3126614.0</v>
      </c>
      <c r="AI71" s="17"/>
    </row>
    <row r="72">
      <c r="A72" s="38"/>
      <c r="B72" s="21" t="s">
        <v>453</v>
      </c>
      <c r="C72" s="21">
        <v>70.0</v>
      </c>
      <c r="D72" s="75">
        <f>SUM(O337:O392)</f>
        <v>57</v>
      </c>
      <c r="E72" s="75" t="s">
        <v>454</v>
      </c>
      <c r="F72" s="75" t="s">
        <v>455</v>
      </c>
      <c r="G72" s="75">
        <f t="shared" si="40"/>
        <v>13</v>
      </c>
      <c r="H72" s="75">
        <v>0.0</v>
      </c>
      <c r="I72" s="40">
        <f>R393*J72</f>
        <v>11280662.4</v>
      </c>
      <c r="J72" s="23">
        <v>0.06</v>
      </c>
      <c r="K72" s="40">
        <f>I72*$L$72</f>
        <v>3384198.72</v>
      </c>
      <c r="L72" s="23">
        <v>0.3</v>
      </c>
      <c r="M72" s="38"/>
      <c r="O72" s="13">
        <v>2.0</v>
      </c>
      <c r="P72" s="13" t="s">
        <v>456</v>
      </c>
      <c r="Q72" s="32" t="s">
        <v>457</v>
      </c>
      <c r="R72" s="29">
        <v>3498000.0</v>
      </c>
      <c r="S72" s="27">
        <f t="shared" si="42"/>
        <v>6996000</v>
      </c>
      <c r="X72" s="13">
        <v>1.0</v>
      </c>
      <c r="Y72" s="13" t="s">
        <v>458</v>
      </c>
      <c r="Z72" s="32" t="s">
        <v>459</v>
      </c>
      <c r="AA72" s="29">
        <v>972394.69</v>
      </c>
      <c r="AB72" s="17"/>
      <c r="AE72" s="13">
        <v>1.0</v>
      </c>
      <c r="AF72" s="13" t="s">
        <v>460</v>
      </c>
      <c r="AG72" s="13">
        <v>44.0</v>
      </c>
      <c r="AH72" s="29">
        <v>3455178.0</v>
      </c>
      <c r="AI72" s="17"/>
    </row>
    <row r="73">
      <c r="O73" s="13">
        <v>2.0</v>
      </c>
      <c r="P73" s="13" t="s">
        <v>461</v>
      </c>
      <c r="Q73" s="32" t="s">
        <v>428</v>
      </c>
      <c r="R73" s="29">
        <v>3498000.0</v>
      </c>
      <c r="S73" s="27">
        <f t="shared" si="42"/>
        <v>6996000</v>
      </c>
      <c r="X73" s="13">
        <v>2.0</v>
      </c>
      <c r="Y73" s="13" t="s">
        <v>462</v>
      </c>
      <c r="Z73" s="13">
        <v>225.0</v>
      </c>
      <c r="AA73" s="29">
        <v>1111167.12</v>
      </c>
      <c r="AB73" s="27">
        <f>AA73*X73</f>
        <v>2222334.24</v>
      </c>
      <c r="AE73" s="13">
        <v>1.0</v>
      </c>
      <c r="AF73" s="13" t="s">
        <v>463</v>
      </c>
      <c r="AG73" s="13">
        <v>49.0</v>
      </c>
      <c r="AH73" s="29">
        <v>3574866.0</v>
      </c>
      <c r="AI73" s="17"/>
    </row>
    <row r="74">
      <c r="O74" s="9"/>
      <c r="P74" s="9"/>
      <c r="Q74" s="76"/>
      <c r="R74" s="24">
        <f>SUM(R68:R70)+SUM(S71:S73)</f>
        <v>32634000</v>
      </c>
      <c r="X74" s="13">
        <v>1.0</v>
      </c>
      <c r="Y74" s="13" t="s">
        <v>464</v>
      </c>
      <c r="Z74" s="32" t="s">
        <v>465</v>
      </c>
      <c r="AA74" s="29">
        <v>1842759.55</v>
      </c>
      <c r="AB74" s="17"/>
      <c r="AE74" s="13">
        <v>1.0</v>
      </c>
      <c r="AF74" s="13" t="s">
        <v>466</v>
      </c>
      <c r="AG74" s="13">
        <v>73.0</v>
      </c>
      <c r="AH74" s="29">
        <v>4686575.0</v>
      </c>
      <c r="AI74" s="17"/>
    </row>
    <row r="75">
      <c r="D75" s="77">
        <f>D3+D8+D17+D20+D28+D69+D72+16</f>
        <v>1351</v>
      </c>
      <c r="O75" s="9" t="s">
        <v>467</v>
      </c>
      <c r="X75" s="13">
        <v>1.0</v>
      </c>
      <c r="Y75" s="13" t="s">
        <v>468</v>
      </c>
      <c r="Z75" s="32" t="s">
        <v>469</v>
      </c>
      <c r="AA75" s="29">
        <v>967406.79</v>
      </c>
      <c r="AB75" s="17"/>
      <c r="AE75" s="13">
        <v>1.0</v>
      </c>
      <c r="AF75" s="13" t="s">
        <v>470</v>
      </c>
      <c r="AG75" s="13">
        <v>44.0</v>
      </c>
      <c r="AH75" s="78">
        <v>3415790.0</v>
      </c>
      <c r="AI75" s="17"/>
    </row>
    <row r="76">
      <c r="C76" s="77">
        <f>SUM(C3:C72)+16</f>
        <v>4991</v>
      </c>
      <c r="O76" s="13" t="s">
        <v>45</v>
      </c>
      <c r="P76" s="13" t="s">
        <v>68</v>
      </c>
      <c r="Q76" s="13" t="s">
        <v>66</v>
      </c>
      <c r="R76" s="13" t="s">
        <v>69</v>
      </c>
      <c r="X76" s="13">
        <v>1.0</v>
      </c>
      <c r="Y76" s="13" t="s">
        <v>471</v>
      </c>
      <c r="Z76" s="32" t="s">
        <v>472</v>
      </c>
      <c r="AA76" s="29">
        <v>1382785.75</v>
      </c>
      <c r="AB76" s="17"/>
      <c r="AE76" s="13">
        <v>1.0</v>
      </c>
      <c r="AF76" s="13" t="s">
        <v>473</v>
      </c>
      <c r="AG76" s="13">
        <v>91.0</v>
      </c>
      <c r="AH76" s="29">
        <v>5875057.0</v>
      </c>
      <c r="AI76" s="17"/>
    </row>
    <row r="77">
      <c r="E77" s="77">
        <f>D75/C76</f>
        <v>0.270687237</v>
      </c>
      <c r="O77" s="13">
        <v>1.0</v>
      </c>
      <c r="P77" s="13" t="s">
        <v>474</v>
      </c>
      <c r="Q77" s="32" t="s">
        <v>475</v>
      </c>
      <c r="R77" s="29">
        <v>6225000.0</v>
      </c>
      <c r="X77" s="13">
        <v>1.0</v>
      </c>
      <c r="Y77" s="13" t="s">
        <v>476</v>
      </c>
      <c r="Z77" s="32" t="s">
        <v>477</v>
      </c>
      <c r="AA77" s="29">
        <v>2425603.74</v>
      </c>
      <c r="AB77" s="17"/>
      <c r="AE77" s="13">
        <v>1.0</v>
      </c>
      <c r="AF77" s="13" t="s">
        <v>478</v>
      </c>
      <c r="AG77" s="13">
        <v>44.0</v>
      </c>
      <c r="AH77" s="29">
        <v>3619725.0</v>
      </c>
      <c r="AI77" s="17"/>
    </row>
    <row r="78">
      <c r="E78" s="77">
        <f>E77*100</f>
        <v>27.0687237</v>
      </c>
      <c r="R78" s="40">
        <f>R77</f>
        <v>6225000</v>
      </c>
      <c r="X78" s="13">
        <v>1.0</v>
      </c>
      <c r="Y78" s="13" t="s">
        <v>479</v>
      </c>
      <c r="Z78" s="32" t="s">
        <v>480</v>
      </c>
      <c r="AA78" s="29">
        <v>1234630.13</v>
      </c>
      <c r="AB78" s="17"/>
      <c r="AE78" s="13">
        <v>1.0</v>
      </c>
      <c r="AF78" s="13" t="s">
        <v>481</v>
      </c>
      <c r="AG78" s="13">
        <v>91.0</v>
      </c>
      <c r="AH78" s="29">
        <v>5475600.0</v>
      </c>
      <c r="AI78" s="17"/>
    </row>
    <row r="79">
      <c r="O79" s="9" t="s">
        <v>482</v>
      </c>
      <c r="X79" s="13">
        <v>1.0</v>
      </c>
      <c r="Y79" s="13" t="s">
        <v>483</v>
      </c>
      <c r="Z79" s="32" t="s">
        <v>484</v>
      </c>
      <c r="AA79" s="29">
        <v>963505.35</v>
      </c>
      <c r="AB79" s="17"/>
      <c r="AE79" s="13">
        <v>1.0</v>
      </c>
      <c r="AF79" s="13" t="s">
        <v>485</v>
      </c>
      <c r="AG79" s="13">
        <v>49.0</v>
      </c>
      <c r="AH79" s="29">
        <v>3753284.0</v>
      </c>
      <c r="AI79" s="17"/>
    </row>
    <row r="80">
      <c r="O80" s="13" t="s">
        <v>45</v>
      </c>
      <c r="P80" s="13" t="s">
        <v>68</v>
      </c>
      <c r="Q80" s="13" t="s">
        <v>66</v>
      </c>
      <c r="R80" s="13" t="s">
        <v>69</v>
      </c>
      <c r="X80" s="13">
        <v>1.0</v>
      </c>
      <c r="Y80" s="13" t="s">
        <v>486</v>
      </c>
      <c r="Z80" s="32" t="s">
        <v>487</v>
      </c>
      <c r="AA80" s="29">
        <v>967308.01</v>
      </c>
      <c r="AB80" s="17"/>
      <c r="AE80" s="13">
        <v>1.0</v>
      </c>
      <c r="AF80" s="13" t="s">
        <v>488</v>
      </c>
      <c r="AG80" s="13">
        <v>88.0</v>
      </c>
      <c r="AH80" s="29">
        <v>5357000.0</v>
      </c>
      <c r="AI80" s="17"/>
    </row>
    <row r="81">
      <c r="O81" s="13">
        <v>1.0</v>
      </c>
      <c r="P81" s="13" t="s">
        <v>489</v>
      </c>
      <c r="Q81" s="32">
        <v>112.0</v>
      </c>
      <c r="R81" s="29">
        <v>5494320.0</v>
      </c>
      <c r="X81" s="13">
        <v>1.0</v>
      </c>
      <c r="Y81" s="13" t="s">
        <v>490</v>
      </c>
      <c r="Z81" s="32" t="s">
        <v>491</v>
      </c>
      <c r="AA81" s="29">
        <v>941874.63</v>
      </c>
      <c r="AB81" s="17"/>
      <c r="AE81" s="13">
        <v>1.0</v>
      </c>
      <c r="AF81" s="13" t="s">
        <v>492</v>
      </c>
      <c r="AG81" s="13">
        <v>49.0</v>
      </c>
      <c r="AH81" s="29">
        <v>3798133.0</v>
      </c>
      <c r="AI81" s="17"/>
    </row>
    <row r="82">
      <c r="O82" s="13">
        <v>1.0</v>
      </c>
      <c r="P82" s="13" t="s">
        <v>493</v>
      </c>
      <c r="Q82" s="32">
        <v>142.0</v>
      </c>
      <c r="R82" s="29">
        <v>7169590.0</v>
      </c>
      <c r="X82" s="13">
        <v>1.0</v>
      </c>
      <c r="Y82" s="13" t="s">
        <v>494</v>
      </c>
      <c r="Z82" s="32" t="s">
        <v>495</v>
      </c>
      <c r="AA82" s="29">
        <v>942516.64</v>
      </c>
      <c r="AB82" s="17"/>
      <c r="AE82" s="13">
        <v>1.0</v>
      </c>
      <c r="AF82" s="13" t="s">
        <v>496</v>
      </c>
      <c r="AG82" s="13">
        <v>67.0</v>
      </c>
      <c r="AH82" s="29">
        <v>4036200.0</v>
      </c>
      <c r="AI82" s="17"/>
    </row>
    <row r="83">
      <c r="O83" s="13">
        <v>1.0</v>
      </c>
      <c r="P83" s="13" t="s">
        <v>497</v>
      </c>
      <c r="Q83" s="32">
        <v>81.0</v>
      </c>
      <c r="R83" s="29">
        <v>4580800.0</v>
      </c>
      <c r="X83" s="13">
        <v>1.0</v>
      </c>
      <c r="Y83" s="13" t="s">
        <v>498</v>
      </c>
      <c r="Z83" s="32" t="s">
        <v>499</v>
      </c>
      <c r="AA83" s="29">
        <v>939059.68</v>
      </c>
      <c r="AB83" s="17"/>
      <c r="AE83" s="13">
        <v>1.0</v>
      </c>
      <c r="AF83" s="13" t="s">
        <v>500</v>
      </c>
      <c r="AG83" s="13">
        <v>87.0</v>
      </c>
      <c r="AH83" s="29">
        <v>5320062.0</v>
      </c>
      <c r="AI83" s="17"/>
    </row>
    <row r="84">
      <c r="O84" s="13">
        <v>1.0</v>
      </c>
      <c r="P84" s="13" t="s">
        <v>501</v>
      </c>
      <c r="Q84" s="13">
        <v>69.0</v>
      </c>
      <c r="R84" s="29">
        <v>4373067.0</v>
      </c>
      <c r="X84" s="13">
        <v>1.0</v>
      </c>
      <c r="Y84" s="13" t="s">
        <v>502</v>
      </c>
      <c r="Z84" s="32" t="s">
        <v>503</v>
      </c>
      <c r="AA84" s="29">
        <v>939158.45</v>
      </c>
      <c r="AB84" s="17"/>
      <c r="AE84" s="13">
        <v>1.0</v>
      </c>
      <c r="AF84" s="13" t="s">
        <v>504</v>
      </c>
      <c r="AG84" s="13">
        <v>65.0</v>
      </c>
      <c r="AH84" s="29">
        <v>3652463.0</v>
      </c>
      <c r="AI84" s="17"/>
    </row>
    <row r="85">
      <c r="R85" s="40">
        <f>SUM(R81:R84)</f>
        <v>21617777</v>
      </c>
      <c r="X85" s="13">
        <v>1.0</v>
      </c>
      <c r="Y85" s="13" t="s">
        <v>505</v>
      </c>
      <c r="Z85" s="32" t="s">
        <v>506</v>
      </c>
      <c r="AA85" s="29">
        <v>942269.72</v>
      </c>
      <c r="AB85" s="17"/>
      <c r="AE85" s="13">
        <v>1.0</v>
      </c>
      <c r="AF85" s="13" t="s">
        <v>507</v>
      </c>
      <c r="AG85" s="13">
        <v>65.0</v>
      </c>
      <c r="AH85" s="29">
        <v>3652463.0</v>
      </c>
      <c r="AI85" s="17"/>
    </row>
    <row r="86">
      <c r="O86" s="9" t="s">
        <v>508</v>
      </c>
      <c r="X86" s="13">
        <v>1.0</v>
      </c>
      <c r="Y86" s="13" t="s">
        <v>509</v>
      </c>
      <c r="Z86" s="32" t="s">
        <v>510</v>
      </c>
      <c r="AA86" s="29">
        <v>988839.96</v>
      </c>
      <c r="AB86" s="17"/>
      <c r="AE86" s="13">
        <v>1.0</v>
      </c>
      <c r="AF86" s="13" t="s">
        <v>511</v>
      </c>
      <c r="AG86" s="13">
        <v>144.0</v>
      </c>
      <c r="AH86" s="29">
        <v>8257256.0</v>
      </c>
      <c r="AI86" s="17"/>
    </row>
    <row r="87">
      <c r="O87" s="13" t="s">
        <v>45</v>
      </c>
      <c r="P87" s="13" t="s">
        <v>68</v>
      </c>
      <c r="Q87" s="13" t="s">
        <v>66</v>
      </c>
      <c r="R87" s="13" t="s">
        <v>69</v>
      </c>
      <c r="S87" s="17"/>
      <c r="X87" s="13">
        <v>1.0</v>
      </c>
      <c r="Y87" s="13" t="s">
        <v>512</v>
      </c>
      <c r="Z87" s="32" t="s">
        <v>513</v>
      </c>
      <c r="AA87" s="29">
        <v>986469.47</v>
      </c>
      <c r="AB87" s="17"/>
      <c r="AE87" s="13">
        <v>1.0</v>
      </c>
      <c r="AF87" s="13" t="s">
        <v>514</v>
      </c>
      <c r="AG87" s="13">
        <v>50.0</v>
      </c>
      <c r="AH87" s="29">
        <v>3281929.0</v>
      </c>
      <c r="AI87" s="17"/>
    </row>
    <row r="88">
      <c r="O88" s="13">
        <v>2.0</v>
      </c>
      <c r="P88" s="13" t="s">
        <v>515</v>
      </c>
      <c r="Q88" s="32">
        <v>95.0</v>
      </c>
      <c r="R88" s="29">
        <v>5113082.0</v>
      </c>
      <c r="S88" s="27">
        <f>R88*O88</f>
        <v>10226164</v>
      </c>
      <c r="X88" s="13">
        <v>1.0</v>
      </c>
      <c r="Y88" s="13" t="s">
        <v>516</v>
      </c>
      <c r="Z88" s="32" t="s">
        <v>517</v>
      </c>
      <c r="AA88" s="29">
        <v>1036570.96</v>
      </c>
      <c r="AB88" s="17"/>
      <c r="AE88" s="9"/>
      <c r="AH88" s="40">
        <f>AI59+SUM(AH60:AH87)</f>
        <v>123853313</v>
      </c>
    </row>
    <row r="89">
      <c r="O89" s="13">
        <v>1.0</v>
      </c>
      <c r="P89" s="13" t="s">
        <v>518</v>
      </c>
      <c r="Q89" s="32">
        <v>155.0</v>
      </c>
      <c r="R89" s="29">
        <v>7296957.0</v>
      </c>
      <c r="S89" s="17"/>
      <c r="AA89" s="40">
        <f>SUM(AA51:AA57)+AB58+AA59+AB60+SUM(AA61:AA70)+AB71+AA72+AB73+SUM(AA74:AA88)</f>
        <v>70682400.58</v>
      </c>
    </row>
    <row r="90">
      <c r="O90" s="34" t="s">
        <v>519</v>
      </c>
      <c r="P90" s="34" t="s">
        <v>520</v>
      </c>
      <c r="Q90" s="35">
        <v>95.0</v>
      </c>
      <c r="R90" s="79"/>
      <c r="S90" s="80" t="s">
        <v>519</v>
      </c>
      <c r="AE90" s="9" t="s">
        <v>521</v>
      </c>
    </row>
    <row r="91">
      <c r="O91" s="81" t="s">
        <v>522</v>
      </c>
      <c r="P91" s="82" t="s">
        <v>523</v>
      </c>
      <c r="Q91" s="83">
        <v>77.0</v>
      </c>
      <c r="R91" s="84"/>
      <c r="S91" s="81" t="s">
        <v>522</v>
      </c>
      <c r="X91" s="9" t="s">
        <v>524</v>
      </c>
      <c r="AE91" s="13" t="s">
        <v>45</v>
      </c>
      <c r="AF91" s="13" t="s">
        <v>68</v>
      </c>
      <c r="AG91" s="13" t="s">
        <v>66</v>
      </c>
      <c r="AH91" s="13" t="s">
        <v>69</v>
      </c>
      <c r="AI91" s="17"/>
    </row>
    <row r="92">
      <c r="O92" s="13">
        <v>1.0</v>
      </c>
      <c r="P92" s="13" t="s">
        <v>525</v>
      </c>
      <c r="Q92" s="13">
        <v>89.0</v>
      </c>
      <c r="R92" s="29">
        <v>5603143.0</v>
      </c>
      <c r="S92" s="17"/>
      <c r="X92" s="13" t="s">
        <v>45</v>
      </c>
      <c r="Y92" s="13" t="s">
        <v>68</v>
      </c>
      <c r="Z92" s="13" t="s">
        <v>66</v>
      </c>
      <c r="AA92" s="13" t="s">
        <v>69</v>
      </c>
      <c r="AE92" s="13">
        <v>1.0</v>
      </c>
      <c r="AF92" s="13" t="s">
        <v>526</v>
      </c>
      <c r="AG92" s="13">
        <v>72.0</v>
      </c>
      <c r="AH92" s="29">
        <v>3467484.0</v>
      </c>
      <c r="AI92" s="17"/>
    </row>
    <row r="93">
      <c r="R93" s="40">
        <f>SUM(S88)+SUM(R89:R92)</f>
        <v>23126264</v>
      </c>
      <c r="X93" s="13">
        <v>1.0</v>
      </c>
      <c r="Y93" s="13" t="s">
        <v>527</v>
      </c>
      <c r="Z93" s="32" t="s">
        <v>528</v>
      </c>
      <c r="AA93" s="29">
        <v>8804787.64</v>
      </c>
      <c r="AE93" s="13">
        <v>1.0</v>
      </c>
      <c r="AF93" s="13" t="s">
        <v>529</v>
      </c>
      <c r="AG93" s="13">
        <v>69.0</v>
      </c>
      <c r="AH93" s="29">
        <v>3314978.0</v>
      </c>
      <c r="AI93" s="17"/>
    </row>
    <row r="94">
      <c r="O94" s="9" t="s">
        <v>530</v>
      </c>
      <c r="X94" s="13">
        <v>1.0</v>
      </c>
      <c r="Y94" s="13" t="s">
        <v>531</v>
      </c>
      <c r="Z94" s="32" t="s">
        <v>532</v>
      </c>
      <c r="AA94" s="29">
        <v>7232075.47</v>
      </c>
      <c r="AE94" s="13">
        <v>2.0</v>
      </c>
      <c r="AF94" s="13" t="s">
        <v>533</v>
      </c>
      <c r="AG94" s="13">
        <v>69.0</v>
      </c>
      <c r="AH94" s="29">
        <v>3288016.0</v>
      </c>
      <c r="AI94" s="27">
        <f>AH94*AE94</f>
        <v>6576032</v>
      </c>
    </row>
    <row r="95">
      <c r="O95" s="13" t="s">
        <v>45</v>
      </c>
      <c r="P95" s="13" t="s">
        <v>68</v>
      </c>
      <c r="Q95" s="13" t="s">
        <v>66</v>
      </c>
      <c r="R95" s="13" t="s">
        <v>69</v>
      </c>
      <c r="X95" s="13">
        <v>1.0</v>
      </c>
      <c r="Y95" s="13" t="s">
        <v>534</v>
      </c>
      <c r="Z95" s="32" t="s">
        <v>535</v>
      </c>
      <c r="AA95" s="29">
        <v>8932826.8</v>
      </c>
      <c r="AE95" s="13">
        <v>1.0</v>
      </c>
      <c r="AF95" s="13" t="s">
        <v>536</v>
      </c>
      <c r="AG95" s="13">
        <v>70.0</v>
      </c>
      <c r="AH95" s="29">
        <v>3352065.0</v>
      </c>
      <c r="AI95" s="17"/>
    </row>
    <row r="96">
      <c r="O96" s="13">
        <v>1.0</v>
      </c>
      <c r="P96" s="13" t="s">
        <v>537</v>
      </c>
      <c r="Q96" s="32" t="s">
        <v>538</v>
      </c>
      <c r="R96" s="29">
        <v>8799999.99</v>
      </c>
      <c r="X96" s="13">
        <v>1.0</v>
      </c>
      <c r="Y96" s="13" t="s">
        <v>539</v>
      </c>
      <c r="Z96" s="32" t="s">
        <v>540</v>
      </c>
      <c r="AA96" s="29">
        <v>9605400.48</v>
      </c>
      <c r="AE96" s="13">
        <v>1.0</v>
      </c>
      <c r="AF96" s="13" t="s">
        <v>541</v>
      </c>
      <c r="AG96" s="13">
        <v>70.0</v>
      </c>
      <c r="AH96" s="29">
        <v>3379475.0</v>
      </c>
      <c r="AI96" s="17"/>
    </row>
    <row r="97">
      <c r="O97" s="13">
        <v>1.0</v>
      </c>
      <c r="P97" s="13" t="s">
        <v>542</v>
      </c>
      <c r="Q97" s="32" t="s">
        <v>543</v>
      </c>
      <c r="R97" s="29">
        <v>9499999.99</v>
      </c>
      <c r="X97" s="13">
        <v>1.0</v>
      </c>
      <c r="Y97" s="13" t="s">
        <v>544</v>
      </c>
      <c r="Z97" s="32" t="s">
        <v>540</v>
      </c>
      <c r="AA97" s="29">
        <v>9748970.76</v>
      </c>
      <c r="AE97" s="13">
        <v>1.0</v>
      </c>
      <c r="AF97" s="13" t="s">
        <v>545</v>
      </c>
      <c r="AG97" s="13">
        <v>67.0</v>
      </c>
      <c r="AH97" s="29">
        <v>2971733.0</v>
      </c>
      <c r="AI97" s="17"/>
    </row>
    <row r="98">
      <c r="O98" s="13">
        <v>1.0</v>
      </c>
      <c r="P98" s="13" t="s">
        <v>537</v>
      </c>
      <c r="Q98" s="32" t="s">
        <v>546</v>
      </c>
      <c r="R98" s="29">
        <v>8799999.99</v>
      </c>
      <c r="X98" s="13">
        <v>1.0</v>
      </c>
      <c r="Y98" s="13" t="s">
        <v>547</v>
      </c>
      <c r="Z98" s="32" t="s">
        <v>548</v>
      </c>
      <c r="AA98" s="29">
        <v>7024632.88</v>
      </c>
      <c r="AE98" s="13">
        <v>1.0</v>
      </c>
      <c r="AF98" s="13" t="s">
        <v>549</v>
      </c>
      <c r="AG98" s="13">
        <v>79.0</v>
      </c>
      <c r="AH98" s="29">
        <v>3343362.0</v>
      </c>
      <c r="AI98" s="17"/>
    </row>
    <row r="99">
      <c r="O99" s="13">
        <v>1.0</v>
      </c>
      <c r="P99" s="13" t="s">
        <v>537</v>
      </c>
      <c r="Q99" s="32" t="s">
        <v>550</v>
      </c>
      <c r="R99" s="29">
        <v>8799999.99</v>
      </c>
      <c r="X99" s="13">
        <v>1.0</v>
      </c>
      <c r="Y99" s="13" t="s">
        <v>551</v>
      </c>
      <c r="Z99" s="32" t="s">
        <v>535</v>
      </c>
      <c r="AA99" s="29">
        <v>9201792.37</v>
      </c>
      <c r="AE99" s="13">
        <v>1.0</v>
      </c>
      <c r="AF99" s="13" t="s">
        <v>552</v>
      </c>
      <c r="AG99" s="13">
        <v>79.0</v>
      </c>
      <c r="AH99" s="29">
        <v>3559404.0</v>
      </c>
      <c r="AI99" s="17"/>
    </row>
    <row r="100">
      <c r="R100" s="40">
        <f>SUM(R96:R99)</f>
        <v>35899999.96</v>
      </c>
      <c r="X100" s="13">
        <v>1.0</v>
      </c>
      <c r="Y100" s="13" t="s">
        <v>553</v>
      </c>
      <c r="Z100" s="32" t="s">
        <v>548</v>
      </c>
      <c r="AA100" s="29">
        <v>7130002.38</v>
      </c>
      <c r="AE100" s="13">
        <v>2.0</v>
      </c>
      <c r="AF100" s="13" t="s">
        <v>554</v>
      </c>
      <c r="AG100" s="13">
        <v>69.0</v>
      </c>
      <c r="AH100" s="29">
        <v>3348139.0</v>
      </c>
      <c r="AI100" s="27">
        <f>AH100*AE100</f>
        <v>6696278</v>
      </c>
    </row>
    <row r="101">
      <c r="O101" s="9" t="s">
        <v>555</v>
      </c>
      <c r="AA101" s="40">
        <f>SUM(AA93:AA100)</f>
        <v>67680488.78</v>
      </c>
      <c r="AE101" s="13">
        <v>1.0</v>
      </c>
      <c r="AF101" s="13" t="s">
        <v>556</v>
      </c>
      <c r="AG101" s="13">
        <v>59.0</v>
      </c>
      <c r="AH101" s="29">
        <v>2884125.0</v>
      </c>
      <c r="AI101" s="17"/>
    </row>
    <row r="102">
      <c r="O102" s="13" t="s">
        <v>45</v>
      </c>
      <c r="P102" s="13" t="s">
        <v>68</v>
      </c>
      <c r="Q102" s="13" t="s">
        <v>66</v>
      </c>
      <c r="R102" s="13" t="s">
        <v>69</v>
      </c>
      <c r="AE102" s="13">
        <v>1.0</v>
      </c>
      <c r="AF102" s="13" t="s">
        <v>557</v>
      </c>
      <c r="AG102" s="13">
        <v>70.0</v>
      </c>
      <c r="AH102" s="29">
        <v>3379336.0</v>
      </c>
      <c r="AI102" s="17"/>
    </row>
    <row r="103">
      <c r="O103" s="13">
        <v>1.0</v>
      </c>
      <c r="P103" s="13" t="s">
        <v>558</v>
      </c>
      <c r="Q103" s="32" t="s">
        <v>559</v>
      </c>
      <c r="R103" s="29">
        <v>5482500.0</v>
      </c>
      <c r="X103" s="9" t="s">
        <v>560</v>
      </c>
      <c r="AE103" s="13">
        <v>1.0</v>
      </c>
      <c r="AF103" s="13" t="s">
        <v>561</v>
      </c>
      <c r="AG103" s="13">
        <v>70.0</v>
      </c>
      <c r="AH103" s="29">
        <v>3418179.0</v>
      </c>
      <c r="AI103" s="17"/>
    </row>
    <row r="104">
      <c r="O104" s="13">
        <v>1.0</v>
      </c>
      <c r="P104" s="13" t="s">
        <v>558</v>
      </c>
      <c r="Q104" s="32" t="s">
        <v>562</v>
      </c>
      <c r="R104" s="29">
        <v>7800000.0</v>
      </c>
      <c r="X104" s="13" t="s">
        <v>45</v>
      </c>
      <c r="Y104" s="13" t="s">
        <v>68</v>
      </c>
      <c r="Z104" s="13" t="s">
        <v>66</v>
      </c>
      <c r="AA104" s="13" t="s">
        <v>69</v>
      </c>
      <c r="AE104" s="13">
        <v>1.0</v>
      </c>
      <c r="AF104" s="13" t="s">
        <v>563</v>
      </c>
      <c r="AG104" s="13">
        <v>79.0</v>
      </c>
      <c r="AH104" s="29">
        <v>3559513.0</v>
      </c>
      <c r="AI104" s="17"/>
    </row>
    <row r="105">
      <c r="R105" s="40">
        <f>SUM(R103:R104)</f>
        <v>13282500</v>
      </c>
      <c r="X105" s="13">
        <v>1.0</v>
      </c>
      <c r="Y105" s="13" t="s">
        <v>564</v>
      </c>
      <c r="Z105" s="32" t="s">
        <v>565</v>
      </c>
      <c r="AA105" s="29">
        <v>5944214.98</v>
      </c>
      <c r="AE105" s="13">
        <v>1.0</v>
      </c>
      <c r="AF105" s="13" t="s">
        <v>566</v>
      </c>
      <c r="AG105" s="13">
        <v>71.0</v>
      </c>
      <c r="AH105" s="29">
        <v>3352595.0</v>
      </c>
      <c r="AI105" s="17"/>
    </row>
    <row r="106">
      <c r="O106" s="9" t="s">
        <v>567</v>
      </c>
      <c r="X106" s="13">
        <v>1.0</v>
      </c>
      <c r="Y106" s="13" t="s">
        <v>568</v>
      </c>
      <c r="Z106" s="32" t="s">
        <v>569</v>
      </c>
      <c r="AA106" s="29">
        <v>5960327.08</v>
      </c>
      <c r="AE106" s="13">
        <v>2.0</v>
      </c>
      <c r="AF106" s="13" t="s">
        <v>570</v>
      </c>
      <c r="AG106" s="13">
        <v>69.0</v>
      </c>
      <c r="AH106" s="29">
        <v>3386624.0</v>
      </c>
      <c r="AI106" s="27">
        <f>AH106*AE106</f>
        <v>6773248</v>
      </c>
    </row>
    <row r="107">
      <c r="O107" s="13" t="s">
        <v>45</v>
      </c>
      <c r="P107" s="13" t="s">
        <v>68</v>
      </c>
      <c r="Q107" s="13" t="s">
        <v>66</v>
      </c>
      <c r="R107" s="13" t="s">
        <v>69</v>
      </c>
      <c r="S107" s="17"/>
      <c r="X107" s="13">
        <v>1.0</v>
      </c>
      <c r="Y107" s="13" t="s">
        <v>571</v>
      </c>
      <c r="Z107" s="32" t="s">
        <v>572</v>
      </c>
      <c r="AA107" s="29">
        <v>6029643.65</v>
      </c>
      <c r="AE107" s="13">
        <v>1.0</v>
      </c>
      <c r="AF107" s="13" t="s">
        <v>573</v>
      </c>
      <c r="AG107" s="13">
        <v>70.0</v>
      </c>
      <c r="AH107" s="29">
        <v>3418179.0</v>
      </c>
      <c r="AI107" s="17"/>
    </row>
    <row r="108">
      <c r="O108" s="13">
        <v>1.0</v>
      </c>
      <c r="P108" s="13" t="s">
        <v>574</v>
      </c>
      <c r="Q108" s="32" t="s">
        <v>575</v>
      </c>
      <c r="R108" s="29">
        <v>3702541.0</v>
      </c>
      <c r="S108" s="17"/>
      <c r="X108" s="13">
        <v>1.0</v>
      </c>
      <c r="Y108" s="13" t="s">
        <v>576</v>
      </c>
      <c r="Z108" s="32" t="s">
        <v>572</v>
      </c>
      <c r="AA108" s="29">
        <v>6295427.38</v>
      </c>
      <c r="AE108" s="13">
        <v>1.0</v>
      </c>
      <c r="AF108" s="13" t="s">
        <v>577</v>
      </c>
      <c r="AG108" s="13">
        <v>70.0</v>
      </c>
      <c r="AH108" s="29">
        <v>3457022.0</v>
      </c>
      <c r="AI108" s="17"/>
    </row>
    <row r="109">
      <c r="O109" s="13">
        <v>1.0</v>
      </c>
      <c r="P109" s="13" t="s">
        <v>578</v>
      </c>
      <c r="Q109" s="32" t="s">
        <v>579</v>
      </c>
      <c r="R109" s="29">
        <v>4578526.13</v>
      </c>
      <c r="S109" s="17"/>
      <c r="AA109" s="40">
        <f>SUM(AA105:AA108)</f>
        <v>24229613.09</v>
      </c>
      <c r="AE109" s="13">
        <v>1.0</v>
      </c>
      <c r="AF109" s="13" t="s">
        <v>580</v>
      </c>
      <c r="AG109" s="13">
        <v>69.0</v>
      </c>
      <c r="AH109" s="29">
        <v>3422653.0</v>
      </c>
      <c r="AI109" s="17"/>
    </row>
    <row r="110">
      <c r="O110" s="13">
        <v>1.0</v>
      </c>
      <c r="P110" s="13" t="s">
        <v>574</v>
      </c>
      <c r="Q110" s="32" t="s">
        <v>581</v>
      </c>
      <c r="R110" s="29">
        <v>2959911.0</v>
      </c>
      <c r="S110" s="17"/>
      <c r="AE110" s="13">
        <v>2.0</v>
      </c>
      <c r="AF110" s="13" t="s">
        <v>582</v>
      </c>
      <c r="AG110" s="13">
        <v>69.0</v>
      </c>
      <c r="AH110" s="29">
        <v>3425108.0</v>
      </c>
      <c r="AI110" s="27">
        <f>AH110*AE110</f>
        <v>6850216</v>
      </c>
    </row>
    <row r="111">
      <c r="O111" s="13">
        <v>1.0</v>
      </c>
      <c r="P111" s="13" t="s">
        <v>574</v>
      </c>
      <c r="Q111" s="32" t="s">
        <v>583</v>
      </c>
      <c r="R111" s="29">
        <v>3133474.24</v>
      </c>
      <c r="S111" s="17"/>
      <c r="X111" s="9" t="s">
        <v>584</v>
      </c>
      <c r="AE111" s="13">
        <v>1.0</v>
      </c>
      <c r="AF111" s="13" t="s">
        <v>585</v>
      </c>
      <c r="AG111" s="13">
        <v>59.0</v>
      </c>
      <c r="AH111" s="29">
        <v>2789036.0</v>
      </c>
      <c r="AI111" s="17"/>
    </row>
    <row r="112">
      <c r="O112" s="13">
        <v>1.0</v>
      </c>
      <c r="P112" s="13" t="s">
        <v>578</v>
      </c>
      <c r="Q112" s="32" t="s">
        <v>586</v>
      </c>
      <c r="R112" s="29">
        <v>4960980.58</v>
      </c>
      <c r="S112" s="17"/>
      <c r="X112" s="13" t="s">
        <v>45</v>
      </c>
      <c r="Y112" s="13" t="s">
        <v>68</v>
      </c>
      <c r="Z112" s="13" t="s">
        <v>66</v>
      </c>
      <c r="AA112" s="13" t="s">
        <v>69</v>
      </c>
      <c r="AB112" s="17"/>
      <c r="AE112" s="13">
        <v>1.0</v>
      </c>
      <c r="AF112" s="13" t="s">
        <v>587</v>
      </c>
      <c r="AG112" s="13">
        <v>70.0</v>
      </c>
      <c r="AH112" s="29">
        <v>3457022.0</v>
      </c>
      <c r="AI112" s="17"/>
    </row>
    <row r="113">
      <c r="O113" s="13">
        <v>1.0</v>
      </c>
      <c r="P113" s="13" t="s">
        <v>574</v>
      </c>
      <c r="Q113" s="32" t="s">
        <v>588</v>
      </c>
      <c r="R113" s="29">
        <v>2959911.0</v>
      </c>
      <c r="S113" s="17"/>
      <c r="X113" s="13">
        <v>9.0</v>
      </c>
      <c r="Y113" s="13" t="s">
        <v>589</v>
      </c>
      <c r="Z113" s="13" t="s">
        <v>590</v>
      </c>
      <c r="AA113" s="29">
        <v>2619400.0</v>
      </c>
      <c r="AB113" s="27">
        <f t="shared" ref="AB113:AB114" si="43">AA113*X113</f>
        <v>23574600</v>
      </c>
      <c r="AE113" s="13">
        <v>1.0</v>
      </c>
      <c r="AF113" s="13" t="s">
        <v>591</v>
      </c>
      <c r="AG113" s="13">
        <v>70.0</v>
      </c>
      <c r="AH113" s="29">
        <v>3495865.0</v>
      </c>
      <c r="AI113" s="17"/>
    </row>
    <row r="114">
      <c r="O114" s="13">
        <v>1.0</v>
      </c>
      <c r="P114" s="13" t="s">
        <v>578</v>
      </c>
      <c r="Q114" s="32" t="s">
        <v>592</v>
      </c>
      <c r="R114" s="29">
        <v>4512740.0</v>
      </c>
      <c r="S114" s="17"/>
      <c r="X114" s="13">
        <v>10.0</v>
      </c>
      <c r="Y114" s="13" t="s">
        <v>589</v>
      </c>
      <c r="Z114" s="13" t="s">
        <v>590</v>
      </c>
      <c r="AA114" s="29">
        <v>2671788.0</v>
      </c>
      <c r="AB114" s="27">
        <f t="shared" si="43"/>
        <v>26717880</v>
      </c>
      <c r="AE114" s="13">
        <v>1.0</v>
      </c>
      <c r="AF114" s="13" t="s">
        <v>593</v>
      </c>
      <c r="AG114" s="13">
        <v>60.0</v>
      </c>
      <c r="AH114" s="29">
        <v>2838563.0</v>
      </c>
      <c r="AI114" s="17"/>
    </row>
    <row r="115">
      <c r="O115" s="13">
        <v>1.0</v>
      </c>
      <c r="P115" s="13" t="s">
        <v>594</v>
      </c>
      <c r="Q115" s="32" t="s">
        <v>595</v>
      </c>
      <c r="R115" s="29">
        <v>8950459.55</v>
      </c>
      <c r="S115" s="17"/>
      <c r="X115" s="13">
        <v>1.0</v>
      </c>
      <c r="Y115" s="13" t="s">
        <v>596</v>
      </c>
      <c r="Z115" s="13" t="s">
        <v>590</v>
      </c>
      <c r="AA115" s="29">
        <v>2427880.0</v>
      </c>
      <c r="AB115" s="17"/>
      <c r="AE115" s="13">
        <v>1.0</v>
      </c>
      <c r="AF115" s="13" t="s">
        <v>597</v>
      </c>
      <c r="AG115" s="13">
        <v>71.0</v>
      </c>
      <c r="AH115" s="29">
        <v>3387477.0</v>
      </c>
      <c r="AI115" s="17"/>
    </row>
    <row r="116">
      <c r="O116" s="13">
        <v>1.0</v>
      </c>
      <c r="P116" s="13" t="s">
        <v>574</v>
      </c>
      <c r="Q116" s="32" t="s">
        <v>598</v>
      </c>
      <c r="R116" s="29">
        <v>3485799.13</v>
      </c>
      <c r="S116" s="17"/>
      <c r="X116" s="13">
        <v>5.0</v>
      </c>
      <c r="Y116" s="13" t="s">
        <v>596</v>
      </c>
      <c r="Z116" s="13" t="s">
        <v>590</v>
      </c>
      <c r="AA116" s="29">
        <v>2476437.6</v>
      </c>
      <c r="AB116" s="27">
        <f>AA116*X116</f>
        <v>12382188</v>
      </c>
      <c r="AE116" s="13">
        <v>2.0</v>
      </c>
      <c r="AF116" s="13" t="s">
        <v>599</v>
      </c>
      <c r="AG116" s="13">
        <v>69.0</v>
      </c>
      <c r="AH116" s="29">
        <v>3463592.0</v>
      </c>
      <c r="AI116" s="27">
        <f>AH116*AE116</f>
        <v>6927184</v>
      </c>
    </row>
    <row r="117">
      <c r="O117" s="13">
        <v>1.0</v>
      </c>
      <c r="P117" s="13" t="s">
        <v>574</v>
      </c>
      <c r="Q117" s="32" t="s">
        <v>600</v>
      </c>
      <c r="R117" s="29">
        <v>3485799.13</v>
      </c>
      <c r="S117" s="17"/>
      <c r="AA117" s="40">
        <f>SUM(AB113:AB114)+AA115+AB116</f>
        <v>65102548</v>
      </c>
      <c r="AE117" s="13">
        <v>1.0</v>
      </c>
      <c r="AF117" s="13" t="s">
        <v>601</v>
      </c>
      <c r="AG117" s="13">
        <v>59.0</v>
      </c>
      <c r="AH117" s="29">
        <v>2817866.0</v>
      </c>
      <c r="AI117" s="17"/>
    </row>
    <row r="118">
      <c r="O118" s="13">
        <v>1.0</v>
      </c>
      <c r="P118" s="13" t="s">
        <v>578</v>
      </c>
      <c r="Q118" s="32" t="s">
        <v>602</v>
      </c>
      <c r="R118" s="29">
        <v>4763441.0</v>
      </c>
      <c r="S118" s="17"/>
      <c r="AE118" s="13">
        <v>1.0</v>
      </c>
      <c r="AF118" s="13" t="s">
        <v>603</v>
      </c>
      <c r="AG118" s="13">
        <v>70.0</v>
      </c>
      <c r="AH118" s="29">
        <v>3495865.0</v>
      </c>
      <c r="AI118" s="17"/>
    </row>
    <row r="119">
      <c r="O119" s="13">
        <v>1.0</v>
      </c>
      <c r="P119" s="13" t="s">
        <v>578</v>
      </c>
      <c r="Q119" s="32" t="s">
        <v>604</v>
      </c>
      <c r="R119" s="29">
        <v>4763441.0</v>
      </c>
      <c r="S119" s="17"/>
      <c r="X119" s="9" t="s">
        <v>605</v>
      </c>
      <c r="AE119" s="13">
        <v>1.0</v>
      </c>
      <c r="AF119" s="13" t="s">
        <v>606</v>
      </c>
      <c r="AG119" s="13">
        <v>70.0</v>
      </c>
      <c r="AH119" s="29">
        <v>3534708.0</v>
      </c>
      <c r="AI119" s="17"/>
    </row>
    <row r="120">
      <c r="O120" s="13">
        <v>2.0</v>
      </c>
      <c r="P120" s="13" t="s">
        <v>574</v>
      </c>
      <c r="Q120" s="32" t="s">
        <v>607</v>
      </c>
      <c r="R120" s="29">
        <v>3485799.13</v>
      </c>
      <c r="S120" s="27">
        <f>R120*O120</f>
        <v>6971598.26</v>
      </c>
      <c r="X120" s="13" t="s">
        <v>45</v>
      </c>
      <c r="Y120" s="13" t="s">
        <v>68</v>
      </c>
      <c r="Z120" s="13" t="s">
        <v>66</v>
      </c>
      <c r="AA120" s="13" t="s">
        <v>69</v>
      </c>
      <c r="AE120" s="13">
        <v>1.0</v>
      </c>
      <c r="AF120" s="13" t="s">
        <v>608</v>
      </c>
      <c r="AG120" s="13">
        <v>60.0</v>
      </c>
      <c r="AH120" s="29">
        <v>2867392.0</v>
      </c>
      <c r="AI120" s="17"/>
    </row>
    <row r="121">
      <c r="O121" s="13">
        <v>1.0</v>
      </c>
      <c r="P121" s="13" t="s">
        <v>578</v>
      </c>
      <c r="Q121" s="32" t="s">
        <v>609</v>
      </c>
      <c r="R121" s="29">
        <v>4763441.0</v>
      </c>
      <c r="S121" s="17"/>
      <c r="X121" s="13">
        <v>1.0</v>
      </c>
      <c r="Y121" s="13" t="s">
        <v>610</v>
      </c>
      <c r="Z121" s="32" t="s">
        <v>611</v>
      </c>
      <c r="AA121" s="29">
        <v>1.008335365E7</v>
      </c>
      <c r="AE121" s="13">
        <v>1.0</v>
      </c>
      <c r="AF121" s="13" t="s">
        <v>612</v>
      </c>
      <c r="AG121" s="13">
        <v>71.0</v>
      </c>
      <c r="AH121" s="29">
        <v>3422359.0</v>
      </c>
      <c r="AI121" s="17"/>
    </row>
    <row r="122">
      <c r="O122" s="13">
        <v>1.0</v>
      </c>
      <c r="P122" s="13" t="s">
        <v>574</v>
      </c>
      <c r="Q122" s="32" t="s">
        <v>613</v>
      </c>
      <c r="R122" s="29">
        <v>3304614.83</v>
      </c>
      <c r="S122" s="17"/>
      <c r="X122" s="13">
        <v>1.0</v>
      </c>
      <c r="Y122" s="13" t="s">
        <v>614</v>
      </c>
      <c r="Z122" s="32" t="s">
        <v>615</v>
      </c>
      <c r="AA122" s="29">
        <v>1.040288593E7</v>
      </c>
      <c r="AH122" s="40">
        <f>SUM(AH92:AH93)+AI94+SUM(AH95:AH99)+AI100+SUM(AH101:AH105)+AI106+SUM(AH107:AH109)+AI110+SUM(AH111:AH115)+AI116+SUM(AH117:AH121)</f>
        <v>116209214</v>
      </c>
    </row>
    <row r="123">
      <c r="O123" s="13">
        <v>1.0</v>
      </c>
      <c r="P123" s="13" t="s">
        <v>574</v>
      </c>
      <c r="Q123" s="32" t="s">
        <v>616</v>
      </c>
      <c r="R123" s="29">
        <v>3376526.43</v>
      </c>
      <c r="S123" s="17"/>
      <c r="X123" s="13">
        <v>1.0</v>
      </c>
      <c r="Y123" s="13" t="s">
        <v>617</v>
      </c>
      <c r="Z123" s="32" t="s">
        <v>618</v>
      </c>
      <c r="AA123" s="29">
        <v>1.045744004E7</v>
      </c>
    </row>
    <row r="124">
      <c r="O124" s="13">
        <v>1.0</v>
      </c>
      <c r="P124" s="13" t="s">
        <v>619</v>
      </c>
      <c r="Q124" s="32" t="s">
        <v>620</v>
      </c>
      <c r="R124" s="29">
        <v>1.093975875E7</v>
      </c>
      <c r="S124" s="17"/>
      <c r="X124" s="13">
        <v>1.0</v>
      </c>
      <c r="Y124" s="13" t="s">
        <v>621</v>
      </c>
      <c r="Z124" s="32" t="s">
        <v>622</v>
      </c>
      <c r="AA124" s="29">
        <v>1.064468294E7</v>
      </c>
      <c r="AE124" s="9" t="s">
        <v>623</v>
      </c>
    </row>
    <row r="125">
      <c r="O125" s="13">
        <v>1.0</v>
      </c>
      <c r="P125" s="13" t="s">
        <v>574</v>
      </c>
      <c r="Q125" s="32" t="s">
        <v>624</v>
      </c>
      <c r="R125" s="29">
        <v>3550408.95</v>
      </c>
      <c r="S125" s="17"/>
      <c r="X125" s="13">
        <v>1.0</v>
      </c>
      <c r="Y125" s="13" t="s">
        <v>625</v>
      </c>
      <c r="Z125" s="32" t="s">
        <v>611</v>
      </c>
      <c r="AA125" s="29">
        <v>1.028602906E7</v>
      </c>
      <c r="AE125" s="13" t="s">
        <v>45</v>
      </c>
      <c r="AF125" s="13" t="s">
        <v>68</v>
      </c>
      <c r="AG125" s="13" t="s">
        <v>66</v>
      </c>
      <c r="AH125" s="13" t="s">
        <v>69</v>
      </c>
    </row>
    <row r="126">
      <c r="Q126" s="85"/>
      <c r="R126" s="40">
        <f>SUM(R108:R119)+S120+SUM(R121:R125)</f>
        <v>85163371.98</v>
      </c>
      <c r="X126" s="13">
        <v>1.0</v>
      </c>
      <c r="Y126" s="13" t="s">
        <v>626</v>
      </c>
      <c r="Z126" s="32" t="s">
        <v>615</v>
      </c>
      <c r="AA126" s="29">
        <v>1.061198394E7</v>
      </c>
      <c r="AE126" s="13">
        <v>1.0</v>
      </c>
      <c r="AF126" s="13" t="s">
        <v>627</v>
      </c>
      <c r="AG126" s="13">
        <v>55.0</v>
      </c>
      <c r="AH126" s="29">
        <v>3025000.0</v>
      </c>
    </row>
    <row r="127">
      <c r="O127" s="9" t="s">
        <v>628</v>
      </c>
      <c r="X127" s="13">
        <v>1.0</v>
      </c>
      <c r="Y127" s="13" t="s">
        <v>629</v>
      </c>
      <c r="Z127" s="32" t="s">
        <v>618</v>
      </c>
      <c r="AA127" s="29">
        <v>1.066763458E7</v>
      </c>
      <c r="AH127" s="40">
        <f>AH126</f>
        <v>3025000</v>
      </c>
    </row>
    <row r="128">
      <c r="O128" s="13" t="s">
        <v>45</v>
      </c>
      <c r="P128" s="13" t="s">
        <v>68</v>
      </c>
      <c r="Q128" s="13" t="s">
        <v>66</v>
      </c>
      <c r="R128" s="13" t="s">
        <v>69</v>
      </c>
      <c r="X128" s="13">
        <v>1.0</v>
      </c>
      <c r="Y128" s="13" t="s">
        <v>630</v>
      </c>
      <c r="Z128" s="32" t="s">
        <v>622</v>
      </c>
      <c r="AA128" s="29">
        <v>1.085864107E7</v>
      </c>
      <c r="AE128" s="9" t="s">
        <v>631</v>
      </c>
    </row>
    <row r="129">
      <c r="O129" s="13">
        <v>1.0</v>
      </c>
      <c r="P129" s="13" t="s">
        <v>632</v>
      </c>
      <c r="Q129" s="32">
        <v>38.0</v>
      </c>
      <c r="R129" s="29">
        <v>3590302.0</v>
      </c>
      <c r="X129" s="13">
        <v>1.0</v>
      </c>
      <c r="Y129" s="13" t="s">
        <v>633</v>
      </c>
      <c r="Z129" s="32" t="s">
        <v>634</v>
      </c>
      <c r="AA129" s="29">
        <v>5452115.58</v>
      </c>
      <c r="AE129" s="13" t="s">
        <v>45</v>
      </c>
      <c r="AF129" s="13" t="s">
        <v>68</v>
      </c>
      <c r="AG129" s="13" t="s">
        <v>66</v>
      </c>
      <c r="AH129" s="13" t="s">
        <v>69</v>
      </c>
    </row>
    <row r="130">
      <c r="O130" s="13">
        <v>1.0</v>
      </c>
      <c r="P130" s="13" t="s">
        <v>635</v>
      </c>
      <c r="Q130" s="13">
        <v>48.0</v>
      </c>
      <c r="R130" s="29">
        <v>4006745.0</v>
      </c>
      <c r="X130" s="13">
        <v>1.0</v>
      </c>
      <c r="Y130" s="13" t="s">
        <v>636</v>
      </c>
      <c r="Z130" s="32" t="s">
        <v>637</v>
      </c>
      <c r="AA130" s="29">
        <v>5408463.31</v>
      </c>
      <c r="AE130" s="13">
        <v>1.0</v>
      </c>
      <c r="AF130" s="13" t="s">
        <v>638</v>
      </c>
      <c r="AG130" s="13">
        <v>63.0</v>
      </c>
      <c r="AH130" s="29">
        <v>4258012.0</v>
      </c>
    </row>
    <row r="131">
      <c r="O131" s="13">
        <v>1.0</v>
      </c>
      <c r="P131" s="13" t="s">
        <v>639</v>
      </c>
      <c r="Q131" s="13">
        <v>65.0</v>
      </c>
      <c r="R131" s="29">
        <v>5225483.0</v>
      </c>
      <c r="X131" s="13">
        <v>1.0</v>
      </c>
      <c r="Y131" s="13" t="s">
        <v>640</v>
      </c>
      <c r="Z131" s="32" t="s">
        <v>634</v>
      </c>
      <c r="AA131" s="29">
        <v>5506636.73</v>
      </c>
      <c r="AE131" s="13">
        <v>1.0</v>
      </c>
      <c r="AF131" s="13" t="s">
        <v>641</v>
      </c>
      <c r="AG131" s="13">
        <v>53.0</v>
      </c>
      <c r="AH131" s="29">
        <v>4273245.0</v>
      </c>
    </row>
    <row r="132">
      <c r="O132" s="13">
        <v>1.0</v>
      </c>
      <c r="P132" s="13" t="s">
        <v>642</v>
      </c>
      <c r="Q132" s="13">
        <v>37.0</v>
      </c>
      <c r="R132" s="29">
        <v>3420230.0</v>
      </c>
      <c r="X132" s="13">
        <v>1.0</v>
      </c>
      <c r="Y132" s="13" t="s">
        <v>643</v>
      </c>
      <c r="Z132" s="32" t="s">
        <v>618</v>
      </c>
      <c r="AA132" s="29">
        <v>9276761.32</v>
      </c>
      <c r="AE132" s="13">
        <v>1.0</v>
      </c>
      <c r="AF132" s="13" t="s">
        <v>644</v>
      </c>
      <c r="AG132" s="13">
        <v>68.0</v>
      </c>
      <c r="AH132" s="29">
        <v>4682128.0</v>
      </c>
    </row>
    <row r="133">
      <c r="O133" s="13">
        <v>1.0</v>
      </c>
      <c r="P133" s="13" t="s">
        <v>645</v>
      </c>
      <c r="Q133" s="13">
        <v>39.0</v>
      </c>
      <c r="R133" s="29">
        <v>3575245.0</v>
      </c>
      <c r="X133" s="13">
        <v>1.0</v>
      </c>
      <c r="Y133" s="13" t="s">
        <v>646</v>
      </c>
      <c r="Z133" s="32" t="s">
        <v>622</v>
      </c>
      <c r="AA133" s="29">
        <v>9442863.9</v>
      </c>
      <c r="AE133" s="13">
        <v>1.0</v>
      </c>
      <c r="AF133" s="13" t="s">
        <v>647</v>
      </c>
      <c r="AG133" s="13">
        <v>77.0</v>
      </c>
      <c r="AH133" s="33">
        <v>5258479.0</v>
      </c>
    </row>
    <row r="134">
      <c r="O134" s="13">
        <v>1.0</v>
      </c>
      <c r="P134" s="13" t="s">
        <v>648</v>
      </c>
      <c r="Q134" s="13">
        <v>39.0</v>
      </c>
      <c r="R134" s="29">
        <v>3593302.0</v>
      </c>
      <c r="X134" s="13">
        <v>1.0</v>
      </c>
      <c r="Y134" s="13" t="s">
        <v>649</v>
      </c>
      <c r="Z134" s="32" t="s">
        <v>637</v>
      </c>
      <c r="AA134" s="29">
        <v>5462547.94</v>
      </c>
      <c r="AE134" s="13">
        <v>1.0</v>
      </c>
      <c r="AF134" s="13" t="s">
        <v>650</v>
      </c>
      <c r="AG134" s="13">
        <v>44.0</v>
      </c>
      <c r="AH134" s="29">
        <v>3163003.0</v>
      </c>
    </row>
    <row r="135">
      <c r="O135" s="13">
        <v>1.0</v>
      </c>
      <c r="P135" s="13" t="s">
        <v>651</v>
      </c>
      <c r="Q135" s="13">
        <v>49.0</v>
      </c>
      <c r="R135" s="29">
        <v>4218026.0</v>
      </c>
      <c r="X135" s="13">
        <v>1.0</v>
      </c>
      <c r="Y135" s="13" t="s">
        <v>652</v>
      </c>
      <c r="Z135" s="32" t="s">
        <v>615</v>
      </c>
      <c r="AA135" s="29">
        <v>9413856.72</v>
      </c>
      <c r="AE135" s="13">
        <v>1.0</v>
      </c>
      <c r="AF135" s="13" t="s">
        <v>653</v>
      </c>
      <c r="AG135" s="86">
        <v>44.0</v>
      </c>
      <c r="AH135" s="29">
        <v>3252706.0</v>
      </c>
    </row>
    <row r="136">
      <c r="O136" s="13">
        <v>1.0</v>
      </c>
      <c r="P136" s="13" t="s">
        <v>654</v>
      </c>
      <c r="Q136" s="13">
        <v>75.0</v>
      </c>
      <c r="R136" s="29">
        <v>5760975.0</v>
      </c>
      <c r="X136" s="13">
        <v>1.0</v>
      </c>
      <c r="Y136" s="13" t="s">
        <v>655</v>
      </c>
      <c r="Z136" s="32" t="s">
        <v>637</v>
      </c>
      <c r="AA136" s="29">
        <v>5517173.42</v>
      </c>
      <c r="AE136" s="13">
        <v>1.0</v>
      </c>
      <c r="AF136" s="13" t="s">
        <v>656</v>
      </c>
      <c r="AG136" s="13">
        <v>44.0</v>
      </c>
      <c r="AH136" s="29">
        <v>3147028.0</v>
      </c>
    </row>
    <row r="137">
      <c r="O137" s="13">
        <v>1.0</v>
      </c>
      <c r="P137" s="13" t="s">
        <v>657</v>
      </c>
      <c r="Q137" s="13">
        <v>67.0</v>
      </c>
      <c r="R137" s="29">
        <v>5328017.0</v>
      </c>
      <c r="X137" s="13">
        <v>1.0</v>
      </c>
      <c r="Y137" s="13" t="s">
        <v>658</v>
      </c>
      <c r="Z137" s="32" t="s">
        <v>622</v>
      </c>
      <c r="AA137" s="29">
        <v>9632665.46</v>
      </c>
      <c r="AE137" s="13">
        <v>1.0</v>
      </c>
      <c r="AF137" s="13" t="s">
        <v>659</v>
      </c>
      <c r="AG137" s="13">
        <v>44.0</v>
      </c>
      <c r="AH137" s="29">
        <v>3274264.0</v>
      </c>
    </row>
    <row r="138">
      <c r="O138" s="13">
        <v>1.0</v>
      </c>
      <c r="P138" s="13" t="s">
        <v>660</v>
      </c>
      <c r="Q138" s="13">
        <v>56.0</v>
      </c>
      <c r="R138" s="29">
        <v>4780825.0</v>
      </c>
      <c r="X138" s="13">
        <v>1.0</v>
      </c>
      <c r="Y138" s="13" t="s">
        <v>661</v>
      </c>
      <c r="Z138" s="32" t="s">
        <v>637</v>
      </c>
      <c r="AA138" s="29">
        <v>5572345.16</v>
      </c>
      <c r="AE138" s="13">
        <v>1.0</v>
      </c>
      <c r="AF138" s="13" t="s">
        <v>662</v>
      </c>
      <c r="AG138" s="13">
        <v>44.0</v>
      </c>
      <c r="AH138" s="29">
        <v>3115934.0</v>
      </c>
    </row>
    <row r="139">
      <c r="O139" s="13">
        <v>1.0</v>
      </c>
      <c r="P139" s="13" t="s">
        <v>663</v>
      </c>
      <c r="Q139" s="13">
        <v>75.0</v>
      </c>
      <c r="R139" s="29">
        <v>6133159.0</v>
      </c>
      <c r="X139" s="13">
        <v>1.0</v>
      </c>
      <c r="Y139" s="13" t="s">
        <v>664</v>
      </c>
      <c r="Z139" s="32" t="s">
        <v>615</v>
      </c>
      <c r="AA139" s="29">
        <v>9603075.24</v>
      </c>
      <c r="AE139" s="13">
        <v>1.0</v>
      </c>
      <c r="AF139" s="13" t="s">
        <v>665</v>
      </c>
      <c r="AG139" s="13">
        <v>38.0</v>
      </c>
      <c r="AH139" s="29">
        <v>2795934.0</v>
      </c>
    </row>
    <row r="140">
      <c r="R140" s="40">
        <f>SUM(R129:R139)</f>
        <v>49632309</v>
      </c>
      <c r="X140" s="13">
        <v>1.0</v>
      </c>
      <c r="Y140" s="13" t="s">
        <v>666</v>
      </c>
      <c r="Z140" s="32" t="s">
        <v>667</v>
      </c>
      <c r="AA140" s="29">
        <v>5692498.84</v>
      </c>
      <c r="AE140" s="13">
        <v>1.0</v>
      </c>
      <c r="AF140" s="13" t="s">
        <v>668</v>
      </c>
      <c r="AG140" s="13">
        <v>73.0</v>
      </c>
      <c r="AH140" s="29">
        <v>5301864.0</v>
      </c>
    </row>
    <row r="141">
      <c r="O141" s="9" t="s">
        <v>669</v>
      </c>
      <c r="X141" s="13">
        <v>1.0</v>
      </c>
      <c r="Y141" s="13" t="s">
        <v>670</v>
      </c>
      <c r="Z141" s="32" t="s">
        <v>637</v>
      </c>
      <c r="AA141" s="29">
        <v>5628068.61</v>
      </c>
      <c r="AE141" s="13">
        <v>1.0</v>
      </c>
      <c r="AF141" s="13" t="s">
        <v>671</v>
      </c>
      <c r="AG141" s="13">
        <v>63.0</v>
      </c>
      <c r="AH141" s="29">
        <v>4175419.0</v>
      </c>
    </row>
    <row r="142">
      <c r="O142" s="13" t="s">
        <v>45</v>
      </c>
      <c r="P142" s="13" t="s">
        <v>68</v>
      </c>
      <c r="Q142" s="13" t="s">
        <v>66</v>
      </c>
      <c r="R142" s="13" t="s">
        <v>69</v>
      </c>
      <c r="S142" s="17"/>
      <c r="X142" s="13">
        <v>1.0</v>
      </c>
      <c r="Y142" s="13" t="s">
        <v>672</v>
      </c>
      <c r="Z142" s="32" t="s">
        <v>622</v>
      </c>
      <c r="AA142" s="29">
        <v>9826282.04</v>
      </c>
      <c r="AE142" s="13">
        <v>1.0</v>
      </c>
      <c r="AF142" s="13" t="s">
        <v>673</v>
      </c>
      <c r="AG142" s="13">
        <v>53.0</v>
      </c>
      <c r="AH142" s="29">
        <v>3905358.0</v>
      </c>
    </row>
    <row r="143">
      <c r="O143" s="13">
        <v>1.0</v>
      </c>
      <c r="P143" s="13" t="s">
        <v>674</v>
      </c>
      <c r="Q143" s="13">
        <v>60.0</v>
      </c>
      <c r="R143" s="29">
        <v>4070196.0</v>
      </c>
      <c r="S143" s="17"/>
      <c r="X143" s="13">
        <v>1.0</v>
      </c>
      <c r="Y143" s="13" t="s">
        <v>675</v>
      </c>
      <c r="Z143" s="32" t="s">
        <v>667</v>
      </c>
      <c r="AA143" s="29">
        <v>5749423.83</v>
      </c>
      <c r="AE143" s="13">
        <v>1.0</v>
      </c>
      <c r="AF143" s="13" t="s">
        <v>676</v>
      </c>
      <c r="AG143" s="13">
        <v>72.0</v>
      </c>
      <c r="AH143" s="29">
        <v>4797695.0</v>
      </c>
    </row>
    <row r="144">
      <c r="O144" s="13">
        <v>1.0</v>
      </c>
      <c r="P144" s="13" t="s">
        <v>677</v>
      </c>
      <c r="Q144" s="13">
        <v>38.0</v>
      </c>
      <c r="R144" s="29">
        <v>3033556.0</v>
      </c>
      <c r="S144" s="17"/>
      <c r="X144" s="13">
        <v>1.0</v>
      </c>
      <c r="Y144" s="13" t="s">
        <v>678</v>
      </c>
      <c r="Z144" s="32" t="s">
        <v>637</v>
      </c>
      <c r="AA144" s="29">
        <v>5684349.29</v>
      </c>
      <c r="AE144" s="13">
        <v>1.0</v>
      </c>
      <c r="AF144" s="13" t="s">
        <v>679</v>
      </c>
      <c r="AG144" s="13">
        <v>60.0</v>
      </c>
      <c r="AH144" s="29">
        <v>4543807.0</v>
      </c>
    </row>
    <row r="145">
      <c r="O145" s="13">
        <v>1.0</v>
      </c>
      <c r="P145" s="13" t="s">
        <v>680</v>
      </c>
      <c r="Q145" s="13">
        <v>63.0</v>
      </c>
      <c r="R145" s="29">
        <v>4298684.0</v>
      </c>
      <c r="S145" s="17"/>
      <c r="X145" s="13">
        <v>1.0</v>
      </c>
      <c r="Y145" s="13" t="s">
        <v>681</v>
      </c>
      <c r="Z145" s="32" t="s">
        <v>615</v>
      </c>
      <c r="AA145" s="29">
        <v>9796097.05</v>
      </c>
      <c r="AE145" s="13">
        <v>1.0</v>
      </c>
      <c r="AF145" s="13" t="s">
        <v>682</v>
      </c>
      <c r="AG145" s="13">
        <v>77.0</v>
      </c>
      <c r="AH145" s="29">
        <v>5256106.0</v>
      </c>
    </row>
    <row r="146">
      <c r="O146" s="13">
        <v>1.0</v>
      </c>
      <c r="P146" s="13" t="s">
        <v>683</v>
      </c>
      <c r="Q146" s="13">
        <v>63.0</v>
      </c>
      <c r="R146" s="29">
        <v>4394069.0</v>
      </c>
      <c r="S146" s="17"/>
      <c r="X146" s="13">
        <v>1.0</v>
      </c>
      <c r="Y146" s="13" t="s">
        <v>684</v>
      </c>
      <c r="Z146" s="32" t="s">
        <v>637</v>
      </c>
      <c r="AA146" s="29">
        <v>5741192.79</v>
      </c>
      <c r="AE146" s="13">
        <v>1.0</v>
      </c>
      <c r="AF146" s="13" t="s">
        <v>685</v>
      </c>
      <c r="AG146" s="13">
        <v>73.0</v>
      </c>
      <c r="AH146" s="29">
        <v>5016077.0</v>
      </c>
    </row>
    <row r="147">
      <c r="O147" s="13">
        <v>2.0</v>
      </c>
      <c r="P147" s="13" t="s">
        <v>686</v>
      </c>
      <c r="Q147" s="13">
        <v>38.0</v>
      </c>
      <c r="R147" s="29">
        <v>3090721.0</v>
      </c>
      <c r="S147" s="27">
        <f>R147*O147</f>
        <v>6181442</v>
      </c>
      <c r="X147" s="13">
        <v>1.0</v>
      </c>
      <c r="Y147" s="13" t="s">
        <v>687</v>
      </c>
      <c r="Z147" s="32" t="s">
        <v>634</v>
      </c>
      <c r="AA147" s="29">
        <v>5845405.86</v>
      </c>
      <c r="AE147" s="13">
        <v>1.0</v>
      </c>
      <c r="AF147" s="13" t="s">
        <v>688</v>
      </c>
      <c r="AG147" s="13">
        <v>63.0</v>
      </c>
      <c r="AH147" s="29">
        <v>4130136.0</v>
      </c>
    </row>
    <row r="148">
      <c r="O148" s="13">
        <v>1.0</v>
      </c>
      <c r="P148" s="13" t="s">
        <v>689</v>
      </c>
      <c r="Q148" s="13">
        <v>60.0</v>
      </c>
      <c r="R148" s="29">
        <v>4160511.0</v>
      </c>
      <c r="S148" s="17"/>
      <c r="X148" s="13">
        <v>1.0</v>
      </c>
      <c r="Y148" s="13" t="s">
        <v>690</v>
      </c>
      <c r="Z148" s="32" t="s">
        <v>618</v>
      </c>
      <c r="AA148" s="29">
        <v>9847469.08</v>
      </c>
      <c r="AE148" s="13">
        <v>1.0</v>
      </c>
      <c r="AF148" s="13" t="s">
        <v>691</v>
      </c>
      <c r="AG148" s="13">
        <v>53.0</v>
      </c>
      <c r="AH148" s="29">
        <v>3785826.0</v>
      </c>
    </row>
    <row r="149">
      <c r="O149" s="13">
        <v>1.0</v>
      </c>
      <c r="P149" s="13" t="s">
        <v>692</v>
      </c>
      <c r="Q149" s="13">
        <v>67.0</v>
      </c>
      <c r="R149" s="29">
        <v>4393085.0</v>
      </c>
      <c r="S149" s="17"/>
      <c r="X149" s="13">
        <v>1.0</v>
      </c>
      <c r="Y149" s="13" t="s">
        <v>693</v>
      </c>
      <c r="Z149" s="32" t="s">
        <v>622</v>
      </c>
      <c r="AA149" s="29">
        <v>1.002379031E7</v>
      </c>
      <c r="AE149" s="13">
        <v>1.0</v>
      </c>
      <c r="AF149" s="13" t="s">
        <v>694</v>
      </c>
      <c r="AG149" s="13">
        <v>72.0</v>
      </c>
      <c r="AH149" s="29">
        <v>4926089.0</v>
      </c>
    </row>
    <row r="150">
      <c r="O150" s="13">
        <v>1.0</v>
      </c>
      <c r="P150" s="13" t="s">
        <v>695</v>
      </c>
      <c r="Q150" s="13">
        <v>66.0</v>
      </c>
      <c r="R150" s="29">
        <v>5340190.0</v>
      </c>
      <c r="S150" s="17"/>
      <c r="X150" s="13">
        <v>1.0</v>
      </c>
      <c r="Y150" s="13" t="s">
        <v>696</v>
      </c>
      <c r="Z150" s="32" t="s">
        <v>637</v>
      </c>
      <c r="AA150" s="29">
        <v>5798604.71</v>
      </c>
      <c r="AE150" s="13">
        <v>1.0</v>
      </c>
      <c r="AF150" s="13" t="s">
        <v>697</v>
      </c>
      <c r="AG150" s="13">
        <v>60.0</v>
      </c>
      <c r="AH150" s="29">
        <v>4493074.0</v>
      </c>
    </row>
    <row r="151">
      <c r="O151" s="13">
        <v>1.0</v>
      </c>
      <c r="P151" s="13" t="s">
        <v>698</v>
      </c>
      <c r="Q151" s="13">
        <v>60.0</v>
      </c>
      <c r="R151" s="29">
        <v>4088259.0</v>
      </c>
      <c r="S151" s="17"/>
      <c r="X151" s="13">
        <v>1.0</v>
      </c>
      <c r="Y151" s="13" t="s">
        <v>699</v>
      </c>
      <c r="Z151" s="32" t="s">
        <v>615</v>
      </c>
      <c r="AA151" s="29">
        <v>9992998.6</v>
      </c>
      <c r="AE151" s="13">
        <v>1.0</v>
      </c>
      <c r="AF151" s="13" t="s">
        <v>700</v>
      </c>
      <c r="AG151" s="13">
        <v>77.0</v>
      </c>
      <c r="AH151" s="29">
        <v>5201438.0</v>
      </c>
    </row>
    <row r="152">
      <c r="O152" s="13">
        <v>2.0</v>
      </c>
      <c r="P152" s="13" t="s">
        <v>701</v>
      </c>
      <c r="Q152" s="13">
        <v>38.0</v>
      </c>
      <c r="R152" s="29">
        <v>3044989.0</v>
      </c>
      <c r="S152" s="27">
        <f>R152*O152</f>
        <v>6089978</v>
      </c>
      <c r="X152" s="13">
        <v>1.0</v>
      </c>
      <c r="Y152" s="13" t="s">
        <v>702</v>
      </c>
      <c r="Z152" s="32" t="s">
        <v>637</v>
      </c>
      <c r="AA152" s="29">
        <v>5856590.76</v>
      </c>
      <c r="AE152" s="13">
        <v>1.0</v>
      </c>
      <c r="AF152" s="13" t="s">
        <v>703</v>
      </c>
      <c r="AG152" s="13">
        <v>73.0</v>
      </c>
      <c r="AH152" s="29">
        <v>5030960.0</v>
      </c>
    </row>
    <row r="153">
      <c r="O153" s="13">
        <v>1.0</v>
      </c>
      <c r="P153" s="13" t="s">
        <v>704</v>
      </c>
      <c r="Q153" s="13">
        <v>63.0</v>
      </c>
      <c r="R153" s="29">
        <v>4317761.0</v>
      </c>
      <c r="S153" s="17"/>
      <c r="X153" s="13">
        <v>1.0</v>
      </c>
      <c r="Y153" s="13" t="s">
        <v>705</v>
      </c>
      <c r="Z153" s="32" t="s">
        <v>634</v>
      </c>
      <c r="AA153" s="29">
        <v>5962898.51</v>
      </c>
      <c r="AE153" s="13">
        <v>1.0</v>
      </c>
      <c r="AF153" s="13" t="s">
        <v>706</v>
      </c>
      <c r="AG153" s="13">
        <v>53.0</v>
      </c>
      <c r="AH153" s="29">
        <v>3795579.0</v>
      </c>
    </row>
    <row r="154">
      <c r="O154" s="13">
        <v>1.0</v>
      </c>
      <c r="P154" s="13" t="s">
        <v>707</v>
      </c>
      <c r="Q154" s="13">
        <v>63.0</v>
      </c>
      <c r="R154" s="29">
        <v>4413146.0</v>
      </c>
      <c r="S154" s="17"/>
      <c r="X154" s="13">
        <v>1.0</v>
      </c>
      <c r="Y154" s="13" t="s">
        <v>708</v>
      </c>
      <c r="Z154" s="32" t="s">
        <v>618</v>
      </c>
      <c r="AA154" s="29">
        <v>1.004540321E7</v>
      </c>
      <c r="AE154" s="13">
        <v>1.0</v>
      </c>
      <c r="AF154" s="13" t="s">
        <v>709</v>
      </c>
      <c r="AG154" s="13">
        <v>72.0</v>
      </c>
      <c r="AH154" s="29">
        <v>5028848.0</v>
      </c>
    </row>
    <row r="155">
      <c r="O155" s="13">
        <v>1.0</v>
      </c>
      <c r="P155" s="13" t="s">
        <v>710</v>
      </c>
      <c r="Q155" s="13">
        <v>38.0</v>
      </c>
      <c r="R155" s="29">
        <v>3102154.0</v>
      </c>
      <c r="S155" s="17"/>
      <c r="X155" s="13">
        <v>1.0</v>
      </c>
      <c r="Y155" s="13" t="s">
        <v>711</v>
      </c>
      <c r="Z155" s="32" t="s">
        <v>622</v>
      </c>
      <c r="AA155" s="29">
        <v>1.022526849E7</v>
      </c>
      <c r="AE155" s="13">
        <v>1.0</v>
      </c>
      <c r="AF155" s="13" t="s">
        <v>712</v>
      </c>
      <c r="AG155" s="13">
        <v>77.0</v>
      </c>
      <c r="AH155" s="29">
        <v>5433115.0</v>
      </c>
    </row>
    <row r="156">
      <c r="O156" s="13">
        <v>1.0</v>
      </c>
      <c r="P156" s="13" t="s">
        <v>713</v>
      </c>
      <c r="Q156" s="13">
        <v>60.0</v>
      </c>
      <c r="R156" s="29">
        <v>4178574.0</v>
      </c>
      <c r="S156" s="17"/>
      <c r="X156" s="13">
        <v>1.0</v>
      </c>
      <c r="Y156" s="13" t="s">
        <v>714</v>
      </c>
      <c r="Z156" s="32" t="s">
        <v>637</v>
      </c>
      <c r="AA156" s="29">
        <v>5915156.67</v>
      </c>
      <c r="AE156" s="13">
        <v>1.0</v>
      </c>
      <c r="AF156" s="13" t="s">
        <v>715</v>
      </c>
      <c r="AG156" s="13">
        <v>73.0</v>
      </c>
      <c r="AH156" s="29">
        <v>5040148.0</v>
      </c>
    </row>
    <row r="157">
      <c r="O157" s="13">
        <v>1.0</v>
      </c>
      <c r="P157" s="13" t="s">
        <v>716</v>
      </c>
      <c r="Q157" s="13">
        <v>60.0</v>
      </c>
      <c r="R157" s="29">
        <v>4106322.0</v>
      </c>
      <c r="S157" s="17"/>
      <c r="X157" s="13">
        <v>1.0</v>
      </c>
      <c r="Y157" s="13" t="s">
        <v>717</v>
      </c>
      <c r="Z157" s="32" t="s">
        <v>634</v>
      </c>
      <c r="AA157" s="29">
        <v>6022527.5</v>
      </c>
      <c r="AE157" s="13">
        <v>1.0</v>
      </c>
      <c r="AF157" s="13" t="s">
        <v>718</v>
      </c>
      <c r="AG157" s="13">
        <v>72.0</v>
      </c>
      <c r="AH157" s="29">
        <v>5014737.0</v>
      </c>
    </row>
    <row r="158">
      <c r="O158" s="13">
        <v>2.0</v>
      </c>
      <c r="P158" s="13" t="s">
        <v>719</v>
      </c>
      <c r="Q158" s="13">
        <v>38.0</v>
      </c>
      <c r="R158" s="29">
        <v>3056422.0</v>
      </c>
      <c r="S158" s="27">
        <f>R158*O158</f>
        <v>6112844</v>
      </c>
      <c r="X158" s="13">
        <v>1.0</v>
      </c>
      <c r="Y158" s="13" t="s">
        <v>720</v>
      </c>
      <c r="Z158" s="32" t="s">
        <v>611</v>
      </c>
      <c r="AA158" s="29">
        <v>9880746.04</v>
      </c>
      <c r="AE158" s="13">
        <v>1.0</v>
      </c>
      <c r="AF158" s="13" t="s">
        <v>721</v>
      </c>
      <c r="AG158" s="13">
        <v>68.0</v>
      </c>
      <c r="AH158" s="29">
        <v>4829453.0</v>
      </c>
    </row>
    <row r="159">
      <c r="O159" s="13">
        <v>1.0</v>
      </c>
      <c r="P159" s="13" t="s">
        <v>722</v>
      </c>
      <c r="Q159" s="13">
        <v>63.0</v>
      </c>
      <c r="R159" s="29">
        <v>4336838.0</v>
      </c>
      <c r="S159" s="17"/>
      <c r="X159" s="13">
        <v>1.0</v>
      </c>
      <c r="Y159" s="13" t="s">
        <v>723</v>
      </c>
      <c r="Z159" s="32" t="s">
        <v>615</v>
      </c>
      <c r="AA159" s="29">
        <v>1.019385787E7</v>
      </c>
      <c r="AE159" s="13">
        <v>1.0</v>
      </c>
      <c r="AF159" s="13" t="s">
        <v>724</v>
      </c>
      <c r="AG159" s="13">
        <v>77.0</v>
      </c>
      <c r="AH159" s="29">
        <v>5291207.0</v>
      </c>
    </row>
    <row r="160">
      <c r="O160" s="13">
        <v>1.0</v>
      </c>
      <c r="P160" s="13" t="s">
        <v>725</v>
      </c>
      <c r="Q160" s="13">
        <v>63.0</v>
      </c>
      <c r="R160" s="29">
        <v>4432223.0</v>
      </c>
      <c r="S160" s="17"/>
      <c r="X160" s="13">
        <v>1.0</v>
      </c>
      <c r="Y160" s="13" t="s">
        <v>726</v>
      </c>
      <c r="Z160" s="32" t="s">
        <v>637</v>
      </c>
      <c r="AA160" s="29">
        <v>5974308.23</v>
      </c>
      <c r="AE160" s="13">
        <v>1.0</v>
      </c>
      <c r="AF160" s="13" t="s">
        <v>727</v>
      </c>
      <c r="AG160" s="13">
        <v>53.0</v>
      </c>
      <c r="AH160" s="29">
        <v>3936692.0</v>
      </c>
    </row>
    <row r="161">
      <c r="O161" s="13">
        <v>2.0</v>
      </c>
      <c r="P161" s="13" t="s">
        <v>728</v>
      </c>
      <c r="Q161" s="13">
        <v>38.0</v>
      </c>
      <c r="R161" s="29">
        <v>3113587.0</v>
      </c>
      <c r="S161" s="27">
        <f>R161*O161</f>
        <v>6227174</v>
      </c>
      <c r="X161" s="13">
        <v>1.0</v>
      </c>
      <c r="Y161" s="13" t="s">
        <v>729</v>
      </c>
      <c r="Z161" s="32" t="s">
        <v>634</v>
      </c>
      <c r="AA161" s="29">
        <v>6082752.78</v>
      </c>
      <c r="AE161" s="13">
        <v>1.0</v>
      </c>
      <c r="AF161" s="13" t="s">
        <v>730</v>
      </c>
      <c r="AG161" s="13">
        <v>74.0</v>
      </c>
      <c r="AH161" s="29">
        <v>5218122.0</v>
      </c>
    </row>
    <row r="162">
      <c r="O162" s="13">
        <v>1.0</v>
      </c>
      <c r="P162" s="13" t="s">
        <v>731</v>
      </c>
      <c r="Q162" s="13">
        <v>60.0</v>
      </c>
      <c r="R162" s="29">
        <v>4196637.0</v>
      </c>
      <c r="S162" s="17"/>
      <c r="X162" s="13">
        <v>1.0</v>
      </c>
      <c r="Y162" s="13" t="s">
        <v>732</v>
      </c>
      <c r="Z162" s="32" t="s">
        <v>618</v>
      </c>
      <c r="AA162" s="29">
        <v>1.024731581E7</v>
      </c>
      <c r="AE162" s="13">
        <v>1.0</v>
      </c>
      <c r="AF162" s="13" t="s">
        <v>733</v>
      </c>
      <c r="AG162" s="13">
        <v>72.0</v>
      </c>
      <c r="AH162" s="29">
        <v>5003118.0</v>
      </c>
    </row>
    <row r="163">
      <c r="O163" s="13">
        <v>1.0</v>
      </c>
      <c r="P163" s="13" t="s">
        <v>734</v>
      </c>
      <c r="Q163" s="13">
        <v>67.0</v>
      </c>
      <c r="R163" s="29">
        <v>4426620.0</v>
      </c>
      <c r="S163" s="17"/>
      <c r="X163" s="13">
        <v>1.0</v>
      </c>
      <c r="Y163" s="13" t="s">
        <v>735</v>
      </c>
      <c r="Z163" s="32" t="s">
        <v>622</v>
      </c>
      <c r="AA163" s="29">
        <v>1.043079639E7</v>
      </c>
      <c r="AE163" s="13">
        <v>1.0</v>
      </c>
      <c r="AF163" s="13" t="s">
        <v>736</v>
      </c>
      <c r="AG163" s="13">
        <v>64.0</v>
      </c>
      <c r="AH163" s="29">
        <v>4472112.0</v>
      </c>
    </row>
    <row r="164">
      <c r="O164" s="13">
        <v>1.0</v>
      </c>
      <c r="P164" s="13" t="s">
        <v>737</v>
      </c>
      <c r="Q164" s="13">
        <v>65.0</v>
      </c>
      <c r="R164" s="29">
        <v>4346760.0</v>
      </c>
      <c r="S164" s="17"/>
      <c r="X164" s="13">
        <v>1.0</v>
      </c>
      <c r="Y164" s="13" t="s">
        <v>738</v>
      </c>
      <c r="Z164" s="32" t="s">
        <v>637</v>
      </c>
      <c r="AA164" s="29">
        <v>6034051.31</v>
      </c>
      <c r="AE164" s="13">
        <v>1.0</v>
      </c>
      <c r="AF164" s="13" t="s">
        <v>739</v>
      </c>
      <c r="AG164" s="13">
        <v>55.0</v>
      </c>
      <c r="AH164" s="29">
        <v>4088127.0</v>
      </c>
    </row>
    <row r="165">
      <c r="O165" s="13">
        <v>1.0</v>
      </c>
      <c r="P165" s="13" t="s">
        <v>740</v>
      </c>
      <c r="Q165" s="13">
        <v>66.0</v>
      </c>
      <c r="R165" s="29">
        <v>4364580.0</v>
      </c>
      <c r="S165" s="17"/>
      <c r="X165" s="13">
        <v>1.0</v>
      </c>
      <c r="Y165" s="13" t="s">
        <v>741</v>
      </c>
      <c r="Z165" s="32" t="s">
        <v>634</v>
      </c>
      <c r="AA165" s="29">
        <v>6143580.3</v>
      </c>
      <c r="AE165" s="13">
        <v>1.0</v>
      </c>
      <c r="AF165" s="13" t="s">
        <v>742</v>
      </c>
      <c r="AG165" s="13">
        <v>72.0</v>
      </c>
      <c r="AH165" s="29">
        <v>5326110.0</v>
      </c>
    </row>
    <row r="166">
      <c r="O166" s="13">
        <v>1.0</v>
      </c>
      <c r="P166" s="13" t="s">
        <v>743</v>
      </c>
      <c r="Q166" s="13">
        <v>65.0</v>
      </c>
      <c r="R166" s="29">
        <v>4445550.0</v>
      </c>
      <c r="S166" s="17"/>
      <c r="X166" s="13">
        <v>1.0</v>
      </c>
      <c r="Y166" s="13" t="s">
        <v>744</v>
      </c>
      <c r="Z166" s="32" t="s">
        <v>611</v>
      </c>
      <c r="AA166" s="29">
        <v>1.007934904E7</v>
      </c>
      <c r="AE166" s="13">
        <v>1.0</v>
      </c>
      <c r="AF166" s="13" t="s">
        <v>745</v>
      </c>
      <c r="AG166" s="13">
        <v>64.0</v>
      </c>
      <c r="AH166" s="29">
        <v>4460235.0</v>
      </c>
    </row>
    <row r="167">
      <c r="O167" s="13">
        <v>1.0</v>
      </c>
      <c r="P167" s="13" t="s">
        <v>746</v>
      </c>
      <c r="Q167" s="13">
        <v>66.0</v>
      </c>
      <c r="R167" s="29">
        <v>4496840.0</v>
      </c>
      <c r="S167" s="17"/>
      <c r="X167" s="13">
        <v>1.0</v>
      </c>
      <c r="Y167" s="13" t="s">
        <v>747</v>
      </c>
      <c r="Z167" s="32" t="s">
        <v>615</v>
      </c>
      <c r="AA167" s="29">
        <v>1.039875442E7</v>
      </c>
      <c r="AE167" s="13">
        <v>1.0</v>
      </c>
      <c r="AF167" s="13" t="s">
        <v>748</v>
      </c>
      <c r="AG167" s="13">
        <v>79.0</v>
      </c>
      <c r="AH167" s="29">
        <v>5442206.0</v>
      </c>
    </row>
    <row r="168">
      <c r="O168" s="13">
        <v>1.0</v>
      </c>
      <c r="P168" s="13" t="s">
        <v>749</v>
      </c>
      <c r="Q168" s="13">
        <v>65.0</v>
      </c>
      <c r="R168" s="29">
        <v>4478480.0</v>
      </c>
      <c r="S168" s="17"/>
      <c r="X168" s="13">
        <v>1.0</v>
      </c>
      <c r="Y168" s="13" t="s">
        <v>750</v>
      </c>
      <c r="Z168" s="32" t="s">
        <v>634</v>
      </c>
      <c r="AA168" s="29">
        <v>6205016.1</v>
      </c>
      <c r="AE168" s="13">
        <v>1.0</v>
      </c>
      <c r="AF168" s="13" t="s">
        <v>751</v>
      </c>
      <c r="AG168" s="13">
        <v>55.0</v>
      </c>
      <c r="AH168" s="29">
        <v>4004604.0</v>
      </c>
    </row>
    <row r="169">
      <c r="O169" s="13">
        <v>1.0</v>
      </c>
      <c r="P169" s="13" t="s">
        <v>752</v>
      </c>
      <c r="Q169" s="13">
        <v>66.0</v>
      </c>
      <c r="R169" s="29">
        <v>4430710.0</v>
      </c>
      <c r="S169" s="17"/>
      <c r="X169" s="13">
        <v>1.0</v>
      </c>
      <c r="Y169" s="13" t="s">
        <v>753</v>
      </c>
      <c r="Z169" s="32" t="s">
        <v>618</v>
      </c>
      <c r="AA169" s="29">
        <v>1.045328686E7</v>
      </c>
      <c r="AE169" s="13">
        <v>1.0</v>
      </c>
      <c r="AF169" s="13" t="s">
        <v>754</v>
      </c>
      <c r="AG169" s="13">
        <v>72.0</v>
      </c>
      <c r="AH169" s="29">
        <v>5260413.0</v>
      </c>
    </row>
    <row r="170">
      <c r="O170" s="13">
        <v>1.0</v>
      </c>
      <c r="P170" s="13" t="s">
        <v>755</v>
      </c>
      <c r="Q170" s="13">
        <v>66.0</v>
      </c>
      <c r="R170" s="29">
        <v>4529905.0</v>
      </c>
      <c r="S170" s="17"/>
      <c r="X170" s="13">
        <v>1.0</v>
      </c>
      <c r="Y170" s="13" t="s">
        <v>756</v>
      </c>
      <c r="Z170" s="32" t="s">
        <v>622</v>
      </c>
      <c r="AA170" s="29">
        <v>1.06404554E7</v>
      </c>
      <c r="AE170" s="13">
        <v>1.0</v>
      </c>
      <c r="AF170" s="13" t="s">
        <v>757</v>
      </c>
      <c r="AG170" s="13">
        <v>64.0</v>
      </c>
      <c r="AH170" s="29">
        <v>4572343.0</v>
      </c>
    </row>
    <row r="171">
      <c r="O171" s="13">
        <v>1.0</v>
      </c>
      <c r="P171" s="13" t="s">
        <v>758</v>
      </c>
      <c r="Q171" s="13">
        <v>65.0</v>
      </c>
      <c r="R171" s="29">
        <v>4511410.0</v>
      </c>
      <c r="S171" s="17"/>
      <c r="X171" s="13">
        <v>1.0</v>
      </c>
      <c r="Y171" s="13" t="s">
        <v>759</v>
      </c>
      <c r="Z171" s="32" t="s">
        <v>637</v>
      </c>
      <c r="AA171" s="29">
        <v>6334679.8</v>
      </c>
      <c r="AE171" s="13">
        <v>1.0</v>
      </c>
      <c r="AF171" s="13" t="s">
        <v>760</v>
      </c>
      <c r="AG171" s="13">
        <v>68.0</v>
      </c>
      <c r="AH171" s="29">
        <v>4310262.0</v>
      </c>
    </row>
    <row r="172">
      <c r="O172" s="13">
        <v>1.0</v>
      </c>
      <c r="P172" s="13" t="s">
        <v>761</v>
      </c>
      <c r="Q172" s="13">
        <v>65.0</v>
      </c>
      <c r="R172" s="29">
        <v>4445550.0</v>
      </c>
      <c r="S172" s="17"/>
      <c r="X172" s="13">
        <v>1.0</v>
      </c>
      <c r="Y172" s="13" t="s">
        <v>762</v>
      </c>
      <c r="Z172" s="32" t="s">
        <v>634</v>
      </c>
      <c r="AA172" s="29">
        <v>6449665.73</v>
      </c>
      <c r="AE172" s="13">
        <v>1.0</v>
      </c>
      <c r="AF172" s="13" t="s">
        <v>763</v>
      </c>
      <c r="AG172" s="13">
        <v>70.0</v>
      </c>
      <c r="AH172" s="29">
        <v>4481989.0</v>
      </c>
    </row>
    <row r="173">
      <c r="O173" s="13">
        <v>1.0</v>
      </c>
      <c r="P173" s="13" t="s">
        <v>764</v>
      </c>
      <c r="Q173" s="13">
        <v>66.0</v>
      </c>
      <c r="R173" s="29">
        <v>4463775.0</v>
      </c>
      <c r="S173" s="17"/>
      <c r="X173" s="13">
        <v>1.0</v>
      </c>
      <c r="Y173" s="13" t="s">
        <v>765</v>
      </c>
      <c r="Z173" s="32" t="s">
        <v>766</v>
      </c>
      <c r="AA173" s="29">
        <v>9571367.87</v>
      </c>
      <c r="AE173" s="13">
        <v>1.0</v>
      </c>
      <c r="AF173" s="13" t="s">
        <v>767</v>
      </c>
      <c r="AG173" s="13">
        <v>70.0</v>
      </c>
      <c r="AH173" s="29">
        <v>4615966.0</v>
      </c>
    </row>
    <row r="174">
      <c r="O174" s="13">
        <v>1.0</v>
      </c>
      <c r="P174" s="13" t="s">
        <v>768</v>
      </c>
      <c r="Q174" s="13">
        <v>66.0</v>
      </c>
      <c r="R174" s="29">
        <v>4562970.0</v>
      </c>
      <c r="S174" s="17"/>
      <c r="X174" s="13">
        <v>1.0</v>
      </c>
      <c r="Y174" s="13" t="s">
        <v>769</v>
      </c>
      <c r="Z174" s="32" t="s">
        <v>622</v>
      </c>
      <c r="AA174" s="29">
        <v>1.085432855E7</v>
      </c>
      <c r="AE174" s="13">
        <v>1.0</v>
      </c>
      <c r="AF174" s="13" t="s">
        <v>770</v>
      </c>
      <c r="AG174" s="13">
        <v>70.0</v>
      </c>
      <c r="AH174" s="29">
        <v>4611817.0</v>
      </c>
    </row>
    <row r="175">
      <c r="O175" s="13">
        <v>1.0</v>
      </c>
      <c r="P175" s="13" t="s">
        <v>771</v>
      </c>
      <c r="Q175" s="13">
        <v>65.0</v>
      </c>
      <c r="R175" s="29">
        <v>4544340.0</v>
      </c>
      <c r="S175" s="17"/>
      <c r="X175" s="13">
        <v>1.0</v>
      </c>
      <c r="Y175" s="13" t="s">
        <v>772</v>
      </c>
      <c r="Z175" s="32" t="s">
        <v>766</v>
      </c>
      <c r="AA175" s="29">
        <v>9763752.37</v>
      </c>
      <c r="AE175" s="13">
        <v>1.0</v>
      </c>
      <c r="AF175" s="13" t="s">
        <v>773</v>
      </c>
      <c r="AG175" s="13">
        <v>70.0</v>
      </c>
      <c r="AH175" s="29">
        <v>4430480.0</v>
      </c>
    </row>
    <row r="176">
      <c r="O176" s="13">
        <v>1.0</v>
      </c>
      <c r="P176" s="13" t="s">
        <v>774</v>
      </c>
      <c r="Q176" s="13">
        <v>66.0</v>
      </c>
      <c r="R176" s="29">
        <v>4496840.0</v>
      </c>
      <c r="S176" s="17"/>
      <c r="X176" s="13">
        <v>1.0</v>
      </c>
      <c r="Y176" s="13" t="s">
        <v>775</v>
      </c>
      <c r="Z176" s="32" t="s">
        <v>618</v>
      </c>
      <c r="AA176" s="29">
        <v>1.087773222E7</v>
      </c>
      <c r="AE176" s="13">
        <v>1.0</v>
      </c>
      <c r="AF176" s="13" t="s">
        <v>776</v>
      </c>
      <c r="AG176" s="13">
        <v>70.0</v>
      </c>
      <c r="AH176" s="29">
        <v>4447003.0</v>
      </c>
    </row>
    <row r="177">
      <c r="O177" s="13">
        <v>1.0</v>
      </c>
      <c r="P177" s="13" t="s">
        <v>777</v>
      </c>
      <c r="Q177" s="13">
        <v>63.0</v>
      </c>
      <c r="R177" s="29">
        <v>4355915.0</v>
      </c>
      <c r="S177" s="17"/>
      <c r="X177" s="13">
        <v>1.0</v>
      </c>
      <c r="Y177" s="13" t="s">
        <v>778</v>
      </c>
      <c r="Z177" s="32" t="s">
        <v>622</v>
      </c>
      <c r="AA177" s="29">
        <v>1.107250056E7</v>
      </c>
      <c r="AE177" s="13">
        <v>1.0</v>
      </c>
      <c r="AF177" s="13" t="s">
        <v>779</v>
      </c>
      <c r="AG177" s="13">
        <v>55.0</v>
      </c>
      <c r="AH177" s="29">
        <v>4203554.0</v>
      </c>
    </row>
    <row r="178">
      <c r="O178" s="13">
        <v>1.0</v>
      </c>
      <c r="P178" s="13" t="s">
        <v>780</v>
      </c>
      <c r="Q178" s="13">
        <v>63.0</v>
      </c>
      <c r="R178" s="29">
        <v>4374992.0</v>
      </c>
      <c r="S178" s="17"/>
      <c r="X178" s="13">
        <v>1.0</v>
      </c>
      <c r="Y178" s="13" t="s">
        <v>781</v>
      </c>
      <c r="Z178" s="32" t="s">
        <v>782</v>
      </c>
      <c r="AA178" s="29">
        <v>9815009.69</v>
      </c>
      <c r="AE178" s="13">
        <v>1.0</v>
      </c>
      <c r="AF178" s="13" t="s">
        <v>783</v>
      </c>
      <c r="AG178" s="13">
        <v>55.0</v>
      </c>
      <c r="AH178" s="29">
        <v>4099719.0</v>
      </c>
    </row>
    <row r="179">
      <c r="O179" s="13">
        <v>1.0</v>
      </c>
      <c r="P179" s="13" t="s">
        <v>784</v>
      </c>
      <c r="Q179" s="13">
        <v>60.0</v>
      </c>
      <c r="R179" s="29">
        <v>4142448.0</v>
      </c>
      <c r="S179" s="17"/>
      <c r="X179" s="13">
        <v>1.0</v>
      </c>
      <c r="Y179" s="13" t="s">
        <v>785</v>
      </c>
      <c r="Z179" s="32" t="s">
        <v>786</v>
      </c>
      <c r="AA179" s="29">
        <v>1.081422704E7</v>
      </c>
      <c r="AH179" s="40">
        <f>SUM(AH130:AH178)</f>
        <v>219202541</v>
      </c>
    </row>
    <row r="180">
      <c r="O180" s="13">
        <v>1.0</v>
      </c>
      <c r="P180" s="13" t="s">
        <v>787</v>
      </c>
      <c r="Q180" s="13">
        <v>164.0</v>
      </c>
      <c r="R180" s="29">
        <v>8739080.0</v>
      </c>
      <c r="S180" s="17"/>
      <c r="X180" s="13">
        <v>1.0</v>
      </c>
      <c r="Y180" s="13" t="s">
        <v>788</v>
      </c>
      <c r="Z180" s="32" t="s">
        <v>789</v>
      </c>
      <c r="AA180" s="29">
        <v>1.00525083E7</v>
      </c>
      <c r="AE180" s="9" t="s">
        <v>790</v>
      </c>
    </row>
    <row r="181">
      <c r="R181" s="40">
        <f>SUM(R143:R146)+S147+SUM(R148:R151)+(S152)+SUM(R153:R157)+S158+SUM(R159:R160)+S161+SUM(R162:R180)</f>
        <v>175630408</v>
      </c>
      <c r="X181" s="13">
        <v>1.0</v>
      </c>
      <c r="Y181" s="13" t="s">
        <v>791</v>
      </c>
      <c r="Z181" s="32" t="s">
        <v>615</v>
      </c>
      <c r="AA181" s="29">
        <v>1.103848735E7</v>
      </c>
      <c r="AE181" s="13" t="s">
        <v>45</v>
      </c>
      <c r="AF181" s="13" t="s">
        <v>68</v>
      </c>
      <c r="AG181" s="13" t="s">
        <v>66</v>
      </c>
      <c r="AH181" s="13" t="s">
        <v>69</v>
      </c>
    </row>
    <row r="182">
      <c r="O182" s="9" t="s">
        <v>792</v>
      </c>
      <c r="X182" s="13">
        <v>1.0</v>
      </c>
      <c r="Y182" s="13" t="s">
        <v>793</v>
      </c>
      <c r="Z182" s="32" t="s">
        <v>766</v>
      </c>
      <c r="AA182" s="29">
        <v>9960003.79</v>
      </c>
      <c r="AE182" s="13">
        <v>1.0</v>
      </c>
      <c r="AF182" s="13" t="s">
        <v>794</v>
      </c>
      <c r="AG182" s="13">
        <v>120.0</v>
      </c>
      <c r="AH182" s="29">
        <v>5333759.0</v>
      </c>
    </row>
    <row r="183">
      <c r="O183" s="13" t="s">
        <v>45</v>
      </c>
      <c r="P183" s="13" t="s">
        <v>68</v>
      </c>
      <c r="Q183" s="13" t="s">
        <v>66</v>
      </c>
      <c r="R183" s="13" t="s">
        <v>69</v>
      </c>
      <c r="X183" s="13">
        <v>1.0</v>
      </c>
      <c r="Y183" s="13" t="s">
        <v>795</v>
      </c>
      <c r="Z183" s="32" t="s">
        <v>796</v>
      </c>
      <c r="AA183" s="29">
        <v>1.122082066E7</v>
      </c>
      <c r="AH183" s="40">
        <f>AH182</f>
        <v>5333759</v>
      </c>
    </row>
    <row r="184">
      <c r="O184" s="13">
        <v>1.0</v>
      </c>
      <c r="P184" s="13" t="s">
        <v>797</v>
      </c>
      <c r="Q184" s="13">
        <v>36.0</v>
      </c>
      <c r="R184" s="29">
        <v>2182928.0</v>
      </c>
      <c r="X184" s="13">
        <v>1.0</v>
      </c>
      <c r="Y184" s="13" t="s">
        <v>798</v>
      </c>
      <c r="Z184" s="32" t="s">
        <v>618</v>
      </c>
      <c r="AA184" s="29">
        <v>1.109637464E7</v>
      </c>
      <c r="AE184" s="9" t="s">
        <v>799</v>
      </c>
    </row>
    <row r="185">
      <c r="O185" s="13">
        <v>1.0</v>
      </c>
      <c r="P185" s="13" t="s">
        <v>800</v>
      </c>
      <c r="Q185" s="13">
        <v>37.0</v>
      </c>
      <c r="R185" s="29">
        <v>2257768.0</v>
      </c>
      <c r="X185" s="13">
        <v>1.0</v>
      </c>
      <c r="Y185" s="13" t="s">
        <v>801</v>
      </c>
      <c r="Z185" s="32" t="s">
        <v>802</v>
      </c>
      <c r="AA185" s="29">
        <v>9956773.17</v>
      </c>
      <c r="AE185" s="13" t="s">
        <v>45</v>
      </c>
      <c r="AF185" s="13" t="s">
        <v>68</v>
      </c>
      <c r="AG185" s="13" t="s">
        <v>66</v>
      </c>
      <c r="AH185" s="13" t="s">
        <v>69</v>
      </c>
    </row>
    <row r="186">
      <c r="O186" s="13">
        <v>1.0</v>
      </c>
      <c r="P186" s="13" t="s">
        <v>803</v>
      </c>
      <c r="Q186" s="13">
        <v>40.0</v>
      </c>
      <c r="R186" s="29">
        <v>2197081.0</v>
      </c>
      <c r="X186" s="13">
        <v>1.0</v>
      </c>
      <c r="Y186" s="13" t="s">
        <v>804</v>
      </c>
      <c r="Z186" s="32" t="s">
        <v>782</v>
      </c>
      <c r="AA186" s="29">
        <v>1.001229139E7</v>
      </c>
      <c r="AE186" s="13">
        <v>1.0</v>
      </c>
      <c r="AF186" s="13" t="s">
        <v>805</v>
      </c>
      <c r="AG186" s="13">
        <v>136.0</v>
      </c>
      <c r="AH186" s="29">
        <v>7480000.0</v>
      </c>
    </row>
    <row r="187">
      <c r="O187" s="13">
        <v>1.0</v>
      </c>
      <c r="P187" s="13" t="s">
        <v>806</v>
      </c>
      <c r="Q187" s="13">
        <v>35.0</v>
      </c>
      <c r="R187" s="29">
        <v>2213915.0</v>
      </c>
      <c r="X187" s="13">
        <v>1.0</v>
      </c>
      <c r="Y187" s="13" t="s">
        <v>807</v>
      </c>
      <c r="Z187" s="32" t="s">
        <v>611</v>
      </c>
      <c r="AA187" s="29">
        <v>1.091449069E7</v>
      </c>
      <c r="AE187" s="13">
        <v>1.0</v>
      </c>
      <c r="AF187" s="13" t="s">
        <v>808</v>
      </c>
      <c r="AG187" s="13">
        <v>150.0</v>
      </c>
      <c r="AH187" s="29">
        <v>7236075.0</v>
      </c>
      <c r="AI187" s="9" t="s">
        <v>809</v>
      </c>
    </row>
    <row r="188">
      <c r="O188" s="13">
        <v>1.0</v>
      </c>
      <c r="P188" s="13" t="s">
        <v>810</v>
      </c>
      <c r="Q188" s="13">
        <v>35.0</v>
      </c>
      <c r="R188" s="29">
        <v>2217068.0</v>
      </c>
      <c r="X188" s="13">
        <v>1.0</v>
      </c>
      <c r="Y188" s="13" t="s">
        <v>811</v>
      </c>
      <c r="Z188" s="32" t="s">
        <v>615</v>
      </c>
      <c r="AA188" s="29">
        <v>1.126036095E7</v>
      </c>
      <c r="AH188" s="40">
        <f>SUM(AH186:AH187)</f>
        <v>14716075</v>
      </c>
    </row>
    <row r="189">
      <c r="O189" s="13">
        <v>1.0</v>
      </c>
      <c r="P189" s="13" t="s">
        <v>812</v>
      </c>
      <c r="Q189" s="13">
        <v>34.0</v>
      </c>
      <c r="R189" s="29">
        <v>2184909.0</v>
      </c>
      <c r="X189" s="13">
        <v>1.0</v>
      </c>
      <c r="Y189" s="13" t="s">
        <v>813</v>
      </c>
      <c r="Z189" s="32" t="s">
        <v>766</v>
      </c>
      <c r="AA189" s="29">
        <v>1.016019987E7</v>
      </c>
      <c r="AE189" s="9" t="s">
        <v>814</v>
      </c>
    </row>
    <row r="190">
      <c r="O190" s="13">
        <v>1.0</v>
      </c>
      <c r="P190" s="13" t="s">
        <v>815</v>
      </c>
      <c r="Q190" s="13">
        <v>37.0</v>
      </c>
      <c r="R190" s="29">
        <v>2281787.0</v>
      </c>
      <c r="X190" s="13">
        <v>1.0</v>
      </c>
      <c r="Y190" s="13" t="s">
        <v>816</v>
      </c>
      <c r="Z190" s="32" t="s">
        <v>618</v>
      </c>
      <c r="AA190" s="29">
        <v>1.131941177E7</v>
      </c>
      <c r="AE190" s="13" t="s">
        <v>45</v>
      </c>
      <c r="AF190" s="13" t="s">
        <v>68</v>
      </c>
      <c r="AG190" s="13" t="s">
        <v>66</v>
      </c>
      <c r="AH190" s="13" t="s">
        <v>69</v>
      </c>
    </row>
    <row r="191">
      <c r="O191" s="13">
        <v>1.0</v>
      </c>
      <c r="P191" s="13" t="s">
        <v>817</v>
      </c>
      <c r="Q191" s="13">
        <v>35.0</v>
      </c>
      <c r="R191" s="29">
        <v>2115871.0</v>
      </c>
      <c r="X191" s="13">
        <v>1.0</v>
      </c>
      <c r="Y191" s="13" t="s">
        <v>818</v>
      </c>
      <c r="Z191" s="32" t="s">
        <v>802</v>
      </c>
      <c r="AA191" s="29">
        <v>1.015690431E7</v>
      </c>
      <c r="AE191" s="13">
        <v>1.0</v>
      </c>
      <c r="AF191" s="13" t="s">
        <v>819</v>
      </c>
      <c r="AG191" s="13">
        <v>43.0</v>
      </c>
      <c r="AH191" s="29">
        <v>2899297.0</v>
      </c>
      <c r="AI191" s="9" t="s">
        <v>809</v>
      </c>
    </row>
    <row r="192">
      <c r="O192" s="13">
        <v>1.0</v>
      </c>
      <c r="P192" s="67" t="s">
        <v>820</v>
      </c>
      <c r="Q192" s="68">
        <v>35.0</v>
      </c>
      <c r="R192" s="29">
        <v>2236278.0</v>
      </c>
      <c r="X192" s="13">
        <v>1.0</v>
      </c>
      <c r="Y192" s="13" t="s">
        <v>821</v>
      </c>
      <c r="Z192" s="32" t="s">
        <v>622</v>
      </c>
      <c r="AA192" s="29">
        <v>1.152208848E7</v>
      </c>
      <c r="AE192" s="13">
        <v>1.0</v>
      </c>
      <c r="AF192" s="13" t="s">
        <v>822</v>
      </c>
      <c r="AG192" s="13">
        <v>43.0</v>
      </c>
      <c r="AH192" s="29">
        <v>3019559.0</v>
      </c>
      <c r="AI192" s="9" t="s">
        <v>809</v>
      </c>
    </row>
    <row r="193">
      <c r="O193" s="13">
        <v>1.0</v>
      </c>
      <c r="P193" s="13" t="s">
        <v>823</v>
      </c>
      <c r="Q193" s="13">
        <v>35.0</v>
      </c>
      <c r="R193" s="29">
        <v>2239462.0</v>
      </c>
      <c r="X193" s="13">
        <v>1.0</v>
      </c>
      <c r="Y193" s="13" t="s">
        <v>824</v>
      </c>
      <c r="Z193" s="32" t="s">
        <v>782</v>
      </c>
      <c r="AA193" s="29">
        <v>1.021353844E7</v>
      </c>
      <c r="AE193" s="13">
        <v>1.0</v>
      </c>
      <c r="AF193" s="13" t="s">
        <v>825</v>
      </c>
      <c r="AG193" s="13">
        <v>43.0</v>
      </c>
      <c r="AH193" s="29">
        <v>3028749.0</v>
      </c>
    </row>
    <row r="194">
      <c r="O194" s="13">
        <v>1.0</v>
      </c>
      <c r="P194" s="13" t="s">
        <v>826</v>
      </c>
      <c r="Q194" s="13">
        <v>34.0</v>
      </c>
      <c r="R194" s="29">
        <v>2218112.0</v>
      </c>
      <c r="X194" s="13">
        <v>1.0</v>
      </c>
      <c r="Y194" s="13" t="s">
        <v>827</v>
      </c>
      <c r="Z194" s="32" t="s">
        <v>786</v>
      </c>
      <c r="AA194" s="29">
        <v>1.125332802E7</v>
      </c>
      <c r="AE194" s="13">
        <v>1.0</v>
      </c>
      <c r="AF194" s="13" t="s">
        <v>828</v>
      </c>
      <c r="AG194" s="13">
        <v>43.0</v>
      </c>
      <c r="AH194" s="29">
        <v>3044213.0</v>
      </c>
      <c r="AI194" s="9" t="s">
        <v>809</v>
      </c>
    </row>
    <row r="195">
      <c r="O195" s="13">
        <v>1.0</v>
      </c>
      <c r="P195" s="13" t="s">
        <v>829</v>
      </c>
      <c r="Q195" s="13">
        <v>35.0</v>
      </c>
      <c r="R195" s="29">
        <v>2258640.0</v>
      </c>
      <c r="AA195" s="40">
        <f>SUM(AA121:AA194)</f>
        <v>656410298.4</v>
      </c>
      <c r="AH195" s="40">
        <f>SUM(AH191:AH194)</f>
        <v>11991818</v>
      </c>
    </row>
    <row r="196">
      <c r="O196" s="13">
        <v>1.0</v>
      </c>
      <c r="P196" s="13" t="s">
        <v>830</v>
      </c>
      <c r="Q196" s="13">
        <v>35.0</v>
      </c>
      <c r="R196" s="29">
        <v>2261857.0</v>
      </c>
      <c r="AE196" s="9" t="s">
        <v>831</v>
      </c>
    </row>
    <row r="197">
      <c r="O197" s="13">
        <v>1.0</v>
      </c>
      <c r="P197" s="13" t="s">
        <v>832</v>
      </c>
      <c r="Q197" s="13">
        <v>34.0</v>
      </c>
      <c r="R197" s="29">
        <v>2229048.0</v>
      </c>
      <c r="X197" s="9" t="s">
        <v>833</v>
      </c>
      <c r="AE197" s="13" t="s">
        <v>45</v>
      </c>
      <c r="AF197" s="13" t="s">
        <v>68</v>
      </c>
      <c r="AG197" s="13" t="s">
        <v>66</v>
      </c>
      <c r="AH197" s="13" t="s">
        <v>69</v>
      </c>
    </row>
    <row r="198">
      <c r="O198" s="13">
        <v>1.0</v>
      </c>
      <c r="P198" s="13" t="s">
        <v>834</v>
      </c>
      <c r="Q198" s="13">
        <v>36.0</v>
      </c>
      <c r="R198" s="29">
        <v>2164024.0</v>
      </c>
      <c r="X198" s="13" t="s">
        <v>45</v>
      </c>
      <c r="Y198" s="13" t="s">
        <v>68</v>
      </c>
      <c r="Z198" s="13" t="s">
        <v>66</v>
      </c>
      <c r="AA198" s="13" t="s">
        <v>69</v>
      </c>
      <c r="AB198" s="17"/>
      <c r="AE198" s="13">
        <v>1.0</v>
      </c>
      <c r="AF198" s="13" t="s">
        <v>835</v>
      </c>
      <c r="AG198" s="13">
        <v>112.0</v>
      </c>
      <c r="AH198" s="29">
        <v>1.0891912E7</v>
      </c>
    </row>
    <row r="199">
      <c r="O199" s="13">
        <v>1.0</v>
      </c>
      <c r="P199" s="13" t="s">
        <v>836</v>
      </c>
      <c r="Q199" s="13">
        <v>35.0</v>
      </c>
      <c r="R199" s="29">
        <v>2281003.0</v>
      </c>
      <c r="X199" s="13">
        <v>3.0</v>
      </c>
      <c r="Y199" s="13" t="s">
        <v>837</v>
      </c>
      <c r="Z199" s="32" t="s">
        <v>838</v>
      </c>
      <c r="AA199" s="29">
        <v>1300000.0</v>
      </c>
      <c r="AB199" s="27">
        <f>AA199*X199</f>
        <v>3900000</v>
      </c>
      <c r="AE199" s="13">
        <v>1.0</v>
      </c>
      <c r="AF199" s="13" t="s">
        <v>839</v>
      </c>
      <c r="AG199" s="13">
        <v>112.0</v>
      </c>
      <c r="AH199" s="29">
        <v>1.1000831E7</v>
      </c>
    </row>
    <row r="200">
      <c r="O200" s="13">
        <v>1.0</v>
      </c>
      <c r="P200" s="13" t="s">
        <v>840</v>
      </c>
      <c r="Q200" s="13">
        <v>44.0</v>
      </c>
      <c r="R200" s="29">
        <v>2401084.0</v>
      </c>
      <c r="X200" s="13">
        <v>1.0</v>
      </c>
      <c r="Y200" s="13" t="s">
        <v>841</v>
      </c>
      <c r="Z200" s="32" t="s">
        <v>842</v>
      </c>
      <c r="AA200" s="29">
        <v>1499032.6</v>
      </c>
      <c r="AB200" s="17"/>
      <c r="AE200" s="13">
        <v>1.0</v>
      </c>
      <c r="AF200" s="13" t="s">
        <v>843</v>
      </c>
      <c r="AG200" s="13">
        <v>101.0</v>
      </c>
      <c r="AH200" s="29">
        <v>9413529.0</v>
      </c>
    </row>
    <row r="201">
      <c r="O201" s="13">
        <v>1.0</v>
      </c>
      <c r="P201" s="13" t="s">
        <v>844</v>
      </c>
      <c r="Q201" s="13">
        <v>36.0</v>
      </c>
      <c r="R201" s="29">
        <v>2187546.0</v>
      </c>
      <c r="X201" s="9"/>
      <c r="Y201" s="9"/>
      <c r="AA201" s="40">
        <f>AB199+AA200</f>
        <v>5399032.6</v>
      </c>
      <c r="AE201" s="13">
        <v>1.0</v>
      </c>
      <c r="AF201" s="13" t="s">
        <v>845</v>
      </c>
      <c r="AG201" s="13">
        <v>81.0</v>
      </c>
      <c r="AH201" s="29">
        <v>7067427.0</v>
      </c>
    </row>
    <row r="202">
      <c r="O202" s="13">
        <v>1.0</v>
      </c>
      <c r="P202" s="13" t="s">
        <v>846</v>
      </c>
      <c r="Q202" s="13">
        <v>64.0</v>
      </c>
      <c r="R202" s="29">
        <v>4303691.0</v>
      </c>
      <c r="X202" s="9" t="s">
        <v>847</v>
      </c>
      <c r="AE202" s="13">
        <v>1.0</v>
      </c>
      <c r="AF202" s="13" t="s">
        <v>848</v>
      </c>
      <c r="AG202" s="13">
        <v>81.0</v>
      </c>
      <c r="AH202" s="29">
        <v>7074886.0</v>
      </c>
    </row>
    <row r="203">
      <c r="O203" s="13">
        <v>1.0</v>
      </c>
      <c r="P203" s="13" t="s">
        <v>849</v>
      </c>
      <c r="Q203" s="13">
        <v>2.0</v>
      </c>
      <c r="R203" s="29">
        <v>73200.0</v>
      </c>
      <c r="X203" s="13" t="s">
        <v>45</v>
      </c>
      <c r="Y203" s="13" t="s">
        <v>68</v>
      </c>
      <c r="Z203" s="13" t="s">
        <v>66</v>
      </c>
      <c r="AA203" s="13" t="s">
        <v>69</v>
      </c>
      <c r="AE203" s="13">
        <v>1.0</v>
      </c>
      <c r="AF203" s="13" t="s">
        <v>850</v>
      </c>
      <c r="AG203" s="13">
        <v>81.0</v>
      </c>
      <c r="AH203" s="29">
        <v>7138102.0</v>
      </c>
    </row>
    <row r="204">
      <c r="O204" s="13">
        <v>1.0</v>
      </c>
      <c r="P204" s="13" t="s">
        <v>851</v>
      </c>
      <c r="Q204" s="13">
        <v>3.0</v>
      </c>
      <c r="R204" s="29">
        <v>93000.0</v>
      </c>
      <c r="X204" s="13">
        <v>1.0</v>
      </c>
      <c r="Y204" s="13" t="s">
        <v>852</v>
      </c>
      <c r="Z204" s="32" t="s">
        <v>853</v>
      </c>
      <c r="AA204" s="29">
        <v>4370971.52</v>
      </c>
      <c r="AE204" s="13">
        <v>1.0</v>
      </c>
      <c r="AF204" s="13" t="s">
        <v>854</v>
      </c>
      <c r="AG204" s="13">
        <v>81.0</v>
      </c>
      <c r="AH204" s="29">
        <v>7145635.0</v>
      </c>
    </row>
    <row r="205">
      <c r="O205" s="13">
        <v>1.0</v>
      </c>
      <c r="P205" s="13" t="s">
        <v>855</v>
      </c>
      <c r="Q205" s="13">
        <v>2.0</v>
      </c>
      <c r="R205" s="29">
        <v>70800.0</v>
      </c>
      <c r="X205" s="13">
        <v>1.0</v>
      </c>
      <c r="Y205" s="13" t="s">
        <v>856</v>
      </c>
      <c r="Z205" s="32" t="s">
        <v>857</v>
      </c>
      <c r="AA205" s="29">
        <v>3848104.23</v>
      </c>
      <c r="AE205" s="13">
        <v>1.0</v>
      </c>
      <c r="AF205" s="13" t="s">
        <v>858</v>
      </c>
      <c r="AG205" s="13">
        <v>75.0</v>
      </c>
      <c r="AH205" s="29">
        <v>6749327.0</v>
      </c>
    </row>
    <row r="206">
      <c r="O206" s="13">
        <v>1.0</v>
      </c>
      <c r="P206" s="13" t="s">
        <v>859</v>
      </c>
      <c r="Q206" s="13">
        <v>1.0</v>
      </c>
      <c r="R206" s="29">
        <v>54300.0</v>
      </c>
      <c r="X206" s="13">
        <v>1.0</v>
      </c>
      <c r="Y206" s="13" t="s">
        <v>860</v>
      </c>
      <c r="Z206" s="32" t="s">
        <v>857</v>
      </c>
      <c r="AA206" s="29">
        <v>3997507.64</v>
      </c>
      <c r="AE206" s="13">
        <v>1.0</v>
      </c>
      <c r="AF206" s="13" t="s">
        <v>861</v>
      </c>
      <c r="AG206" s="13">
        <v>75.0</v>
      </c>
      <c r="AH206" s="29">
        <v>6816821.0</v>
      </c>
    </row>
    <row r="207">
      <c r="O207" s="13">
        <v>1.0</v>
      </c>
      <c r="P207" s="13" t="s">
        <v>862</v>
      </c>
      <c r="Q207" s="13">
        <v>2.0</v>
      </c>
      <c r="R207" s="29">
        <v>80700.0</v>
      </c>
      <c r="X207" s="13">
        <v>1.0</v>
      </c>
      <c r="Y207" s="13" t="s">
        <v>863</v>
      </c>
      <c r="Z207" s="87"/>
      <c r="AA207" s="29">
        <v>4813009.66</v>
      </c>
      <c r="AE207" s="13">
        <v>1.0</v>
      </c>
      <c r="AF207" s="13" t="s">
        <v>864</v>
      </c>
      <c r="AG207" s="13">
        <v>76.0</v>
      </c>
      <c r="AH207" s="29">
        <v>6829460.0</v>
      </c>
    </row>
    <row r="208">
      <c r="O208" s="13">
        <v>1.0</v>
      </c>
      <c r="P208" s="13" t="s">
        <v>865</v>
      </c>
      <c r="Q208" s="13">
        <v>2.0</v>
      </c>
      <c r="R208" s="29">
        <v>65100.0</v>
      </c>
      <c r="AA208" s="40">
        <f>SUM(AA204:AA207)</f>
        <v>17029593.05</v>
      </c>
      <c r="AE208" s="13">
        <v>1.0</v>
      </c>
      <c r="AF208" s="13" t="s">
        <v>866</v>
      </c>
      <c r="AG208" s="13">
        <v>76.0</v>
      </c>
      <c r="AH208" s="29">
        <v>6897755.0</v>
      </c>
    </row>
    <row r="209">
      <c r="O209" s="13">
        <v>1.0</v>
      </c>
      <c r="P209" s="13" t="s">
        <v>867</v>
      </c>
      <c r="Q209" s="13">
        <v>2.0</v>
      </c>
      <c r="R209" s="29">
        <v>60000.0</v>
      </c>
      <c r="X209" s="9" t="s">
        <v>868</v>
      </c>
      <c r="AE209" s="13">
        <v>1.0</v>
      </c>
      <c r="AF209" s="13" t="s">
        <v>869</v>
      </c>
      <c r="AG209" s="13">
        <v>81.0</v>
      </c>
      <c r="AH209" s="29">
        <v>7354393.0</v>
      </c>
    </row>
    <row r="210">
      <c r="O210" s="13">
        <v>1.0</v>
      </c>
      <c r="P210" s="13" t="s">
        <v>870</v>
      </c>
      <c r="Q210" s="13">
        <v>1.0</v>
      </c>
      <c r="R210" s="29">
        <v>55200.0</v>
      </c>
      <c r="X210" s="13" t="s">
        <v>45</v>
      </c>
      <c r="Y210" s="13" t="s">
        <v>68</v>
      </c>
      <c r="Z210" s="13" t="s">
        <v>66</v>
      </c>
      <c r="AA210" s="13" t="s">
        <v>69</v>
      </c>
      <c r="AB210" s="17"/>
      <c r="AE210" s="13">
        <v>1.0</v>
      </c>
      <c r="AF210" s="13" t="s">
        <v>871</v>
      </c>
      <c r="AG210" s="13">
        <v>81.0</v>
      </c>
      <c r="AH210" s="29">
        <v>7362155.0</v>
      </c>
    </row>
    <row r="211">
      <c r="O211" s="13">
        <v>1.0</v>
      </c>
      <c r="P211" s="13" t="s">
        <v>872</v>
      </c>
      <c r="Q211" s="13">
        <v>1.0</v>
      </c>
      <c r="R211" s="29">
        <v>45300.0</v>
      </c>
      <c r="X211" s="13">
        <v>1.0</v>
      </c>
      <c r="Y211" s="13" t="s">
        <v>873</v>
      </c>
      <c r="Z211" s="13">
        <v>75.0</v>
      </c>
      <c r="AA211" s="29">
        <v>4678405.0</v>
      </c>
      <c r="AB211" s="17"/>
      <c r="AE211" s="13">
        <v>1.0</v>
      </c>
      <c r="AF211" s="13" t="s">
        <v>874</v>
      </c>
      <c r="AG211" s="13">
        <v>76.0</v>
      </c>
      <c r="AH211" s="29">
        <v>6966733.0</v>
      </c>
    </row>
    <row r="212">
      <c r="O212" s="13">
        <v>1.0</v>
      </c>
      <c r="P212" s="13" t="s">
        <v>875</v>
      </c>
      <c r="Q212" s="13">
        <v>1.0</v>
      </c>
      <c r="R212" s="29">
        <v>35100.0</v>
      </c>
      <c r="X212" s="13">
        <v>1.0</v>
      </c>
      <c r="Y212" s="13" t="s">
        <v>876</v>
      </c>
      <c r="Z212" s="13">
        <v>75.0</v>
      </c>
      <c r="AA212" s="29">
        <v>5174162.0</v>
      </c>
      <c r="AB212" s="17"/>
      <c r="AE212" s="13">
        <v>1.0</v>
      </c>
      <c r="AF212" s="13" t="s">
        <v>877</v>
      </c>
      <c r="AG212" s="13">
        <v>75.0</v>
      </c>
      <c r="AH212" s="29">
        <v>6953839.0</v>
      </c>
    </row>
    <row r="213">
      <c r="O213" s="13">
        <v>1.0</v>
      </c>
      <c r="P213" s="13" t="s">
        <v>878</v>
      </c>
      <c r="Q213" s="13">
        <v>1.0</v>
      </c>
      <c r="R213" s="29">
        <v>33900.0</v>
      </c>
      <c r="X213" s="13">
        <v>1.0</v>
      </c>
      <c r="Y213" s="13" t="s">
        <v>879</v>
      </c>
      <c r="Z213" s="13">
        <v>75.0</v>
      </c>
      <c r="AA213" s="29">
        <v>4933504.0</v>
      </c>
      <c r="AB213" s="17"/>
      <c r="AH213" s="40">
        <f>SUM(AH198:AH212)</f>
        <v>115662805</v>
      </c>
    </row>
    <row r="214">
      <c r="O214" s="13">
        <v>1.0</v>
      </c>
      <c r="P214" s="13" t="s">
        <v>880</v>
      </c>
      <c r="Q214" s="13">
        <v>2.0</v>
      </c>
      <c r="R214" s="29">
        <v>61500.0</v>
      </c>
      <c r="X214" s="13">
        <v>1.0</v>
      </c>
      <c r="Y214" s="13" t="s">
        <v>881</v>
      </c>
      <c r="Z214" s="13">
        <v>57.0</v>
      </c>
      <c r="AA214" s="29">
        <v>4027509.0</v>
      </c>
      <c r="AB214" s="17"/>
      <c r="AE214" s="9" t="s">
        <v>882</v>
      </c>
    </row>
    <row r="215">
      <c r="O215" s="13">
        <v>1.0</v>
      </c>
      <c r="P215" s="13" t="s">
        <v>883</v>
      </c>
      <c r="Q215" s="13">
        <v>1.0</v>
      </c>
      <c r="R215" s="29">
        <v>55500.0</v>
      </c>
      <c r="X215" s="13">
        <v>2.0</v>
      </c>
      <c r="Y215" s="13" t="s">
        <v>884</v>
      </c>
      <c r="Z215" s="13">
        <v>55.0</v>
      </c>
      <c r="AA215" s="29">
        <v>3850399.0</v>
      </c>
      <c r="AB215" s="27">
        <f>AA215*X215</f>
        <v>7700798</v>
      </c>
      <c r="AE215" s="13" t="s">
        <v>45</v>
      </c>
      <c r="AF215" s="13" t="s">
        <v>68</v>
      </c>
      <c r="AG215" s="13" t="s">
        <v>66</v>
      </c>
      <c r="AH215" s="13" t="s">
        <v>69</v>
      </c>
      <c r="AI215" s="17"/>
    </row>
    <row r="216">
      <c r="O216" s="13">
        <v>1.0</v>
      </c>
      <c r="P216" s="13" t="s">
        <v>885</v>
      </c>
      <c r="Q216" s="13">
        <v>1.0</v>
      </c>
      <c r="R216" s="29">
        <v>37200.0</v>
      </c>
      <c r="X216" s="13">
        <v>1.0</v>
      </c>
      <c r="Y216" s="13" t="s">
        <v>886</v>
      </c>
      <c r="Z216" s="13">
        <v>55.0</v>
      </c>
      <c r="AA216" s="29">
        <v>3764812.0</v>
      </c>
      <c r="AB216" s="17"/>
      <c r="AE216" s="13">
        <v>2.0</v>
      </c>
      <c r="AF216" s="13" t="s">
        <v>887</v>
      </c>
      <c r="AG216" s="13">
        <v>81.0</v>
      </c>
      <c r="AH216" s="29">
        <v>6578618.0</v>
      </c>
      <c r="AI216" s="27">
        <f>AH216*AE216</f>
        <v>13157236</v>
      </c>
    </row>
    <row r="217">
      <c r="O217" s="13">
        <v>1.0</v>
      </c>
      <c r="P217" s="13" t="s">
        <v>888</v>
      </c>
      <c r="Q217" s="13">
        <v>1.0</v>
      </c>
      <c r="R217" s="29">
        <v>31200.0</v>
      </c>
      <c r="X217" s="13">
        <v>1.0</v>
      </c>
      <c r="Y217" s="13" t="s">
        <v>889</v>
      </c>
      <c r="Z217" s="13">
        <v>51.0</v>
      </c>
      <c r="AA217" s="29">
        <v>3615510.0</v>
      </c>
      <c r="AB217" s="17"/>
      <c r="AE217" s="13">
        <v>1.0</v>
      </c>
      <c r="AF217" s="13" t="s">
        <v>890</v>
      </c>
      <c r="AG217" s="13">
        <v>100.0</v>
      </c>
      <c r="AH217" s="29">
        <v>7602099.0</v>
      </c>
      <c r="AI217" s="17"/>
    </row>
    <row r="218">
      <c r="O218" s="13">
        <v>1.0</v>
      </c>
      <c r="P218" s="13" t="s">
        <v>891</v>
      </c>
      <c r="Q218" s="13">
        <v>2.0</v>
      </c>
      <c r="R218" s="29">
        <v>82800.0</v>
      </c>
      <c r="X218" s="13">
        <v>1.0</v>
      </c>
      <c r="Y218" s="13" t="s">
        <v>892</v>
      </c>
      <c r="Z218" s="13">
        <v>50.0</v>
      </c>
      <c r="AA218" s="29">
        <v>3563438.0</v>
      </c>
      <c r="AB218" s="17"/>
      <c r="AE218" s="13">
        <v>2.0</v>
      </c>
      <c r="AF218" s="13" t="s">
        <v>893</v>
      </c>
      <c r="AG218" s="13">
        <v>81.0</v>
      </c>
      <c r="AH218" s="29">
        <v>6624302.0</v>
      </c>
      <c r="AI218" s="27">
        <f>AH218*AE218</f>
        <v>13248604</v>
      </c>
    </row>
    <row r="219">
      <c r="R219" s="40">
        <f>SUM(R184:R218)</f>
        <v>45366872</v>
      </c>
      <c r="X219" s="13">
        <v>1.0</v>
      </c>
      <c r="Y219" s="13" t="s">
        <v>894</v>
      </c>
      <c r="Z219" s="13">
        <v>51.0</v>
      </c>
      <c r="AA219" s="29">
        <v>3618325.0</v>
      </c>
      <c r="AB219" s="17"/>
      <c r="AE219" s="13">
        <v>1.0</v>
      </c>
      <c r="AF219" s="13" t="s">
        <v>895</v>
      </c>
      <c r="AG219" s="13">
        <v>100.0</v>
      </c>
      <c r="AH219" s="29">
        <v>7658410.0</v>
      </c>
      <c r="AI219" s="17"/>
    </row>
    <row r="220">
      <c r="O220" s="9" t="s">
        <v>896</v>
      </c>
      <c r="X220" s="13">
        <v>1.0</v>
      </c>
      <c r="Y220" s="13" t="s">
        <v>897</v>
      </c>
      <c r="Z220" s="13">
        <v>77.0</v>
      </c>
      <c r="AA220" s="29">
        <v>4798412.0</v>
      </c>
      <c r="AB220" s="17"/>
      <c r="AE220" s="13">
        <v>1.0</v>
      </c>
      <c r="AF220" s="13" t="s">
        <v>898</v>
      </c>
      <c r="AG220" s="13">
        <v>81.0</v>
      </c>
      <c r="AH220" s="29">
        <v>6669987.0</v>
      </c>
      <c r="AI220" s="17"/>
    </row>
    <row r="221">
      <c r="O221" s="13" t="s">
        <v>45</v>
      </c>
      <c r="P221" s="13" t="s">
        <v>68</v>
      </c>
      <c r="Q221" s="13" t="s">
        <v>66</v>
      </c>
      <c r="R221" s="13" t="s">
        <v>69</v>
      </c>
      <c r="X221" s="13">
        <v>1.0</v>
      </c>
      <c r="Y221" s="13" t="s">
        <v>899</v>
      </c>
      <c r="Z221" s="13">
        <v>71.0</v>
      </c>
      <c r="AA221" s="29">
        <v>4014490.0</v>
      </c>
      <c r="AB221" s="17"/>
      <c r="AE221" s="13">
        <v>1.0</v>
      </c>
      <c r="AF221" s="13" t="s">
        <v>900</v>
      </c>
      <c r="AG221" s="13">
        <v>81.0</v>
      </c>
      <c r="AH221" s="29">
        <v>6715672.0</v>
      </c>
      <c r="AI221" s="17"/>
    </row>
    <row r="222">
      <c r="O222" s="13">
        <v>1.0</v>
      </c>
      <c r="P222" s="13" t="s">
        <v>901</v>
      </c>
      <c r="Q222" s="13">
        <v>92.0</v>
      </c>
      <c r="R222" s="29">
        <v>6900000.0</v>
      </c>
      <c r="X222" s="13">
        <v>1.0</v>
      </c>
      <c r="Y222" s="13" t="s">
        <v>902</v>
      </c>
      <c r="Z222" s="13">
        <v>75.0</v>
      </c>
      <c r="AA222" s="29">
        <v>4771974.0</v>
      </c>
      <c r="AB222" s="17"/>
      <c r="AE222" s="13">
        <v>1.0</v>
      </c>
      <c r="AF222" s="13" t="s">
        <v>903</v>
      </c>
      <c r="AG222" s="13">
        <v>51.0</v>
      </c>
      <c r="AH222" s="29">
        <v>4740424.0</v>
      </c>
      <c r="AI222" s="17"/>
    </row>
    <row r="223">
      <c r="O223" s="13">
        <v>1.0</v>
      </c>
      <c r="P223" s="13" t="s">
        <v>904</v>
      </c>
      <c r="Q223" s="13">
        <v>57.0</v>
      </c>
      <c r="R223" s="29">
        <v>4962025.0</v>
      </c>
      <c r="X223" s="13">
        <v>1.0</v>
      </c>
      <c r="Y223" s="13" t="s">
        <v>905</v>
      </c>
      <c r="Z223" s="13">
        <v>75.0</v>
      </c>
      <c r="AA223" s="29">
        <v>5484612.0</v>
      </c>
      <c r="AB223" s="17"/>
      <c r="AE223" s="13">
        <v>1.0</v>
      </c>
      <c r="AF223" s="13" t="s">
        <v>906</v>
      </c>
      <c r="AG223" s="13">
        <v>81.0</v>
      </c>
      <c r="AH223" s="29">
        <v>6761357.0</v>
      </c>
      <c r="AI223" s="17"/>
    </row>
    <row r="224">
      <c r="O224" s="13">
        <v>1.0</v>
      </c>
      <c r="P224" s="13" t="s">
        <v>907</v>
      </c>
      <c r="Q224" s="13">
        <v>46.0</v>
      </c>
      <c r="R224" s="29">
        <v>4574785.0</v>
      </c>
      <c r="X224" s="13">
        <v>1.0</v>
      </c>
      <c r="Y224" s="13" t="s">
        <v>908</v>
      </c>
      <c r="Z224" s="13">
        <v>57.0</v>
      </c>
      <c r="AA224" s="29">
        <v>4269159.0</v>
      </c>
      <c r="AB224" s="17"/>
      <c r="AE224" s="13">
        <v>1.0</v>
      </c>
      <c r="AF224" s="13" t="s">
        <v>909</v>
      </c>
      <c r="AG224" s="13">
        <v>81.0</v>
      </c>
      <c r="AH224" s="29">
        <v>6807042.0</v>
      </c>
      <c r="AI224" s="17"/>
    </row>
    <row r="225">
      <c r="O225" s="13">
        <v>1.0</v>
      </c>
      <c r="P225" s="13" t="s">
        <v>910</v>
      </c>
      <c r="Q225" s="13">
        <v>57.0</v>
      </c>
      <c r="R225" s="29">
        <v>4981604.0</v>
      </c>
      <c r="X225" s="13">
        <v>1.0</v>
      </c>
      <c r="Y225" s="13" t="s">
        <v>911</v>
      </c>
      <c r="Z225" s="13">
        <v>55.0</v>
      </c>
      <c r="AA225" s="29">
        <v>4081423.0</v>
      </c>
      <c r="AB225" s="17"/>
      <c r="AE225" s="13">
        <v>1.0</v>
      </c>
      <c r="AF225" s="13" t="s">
        <v>912</v>
      </c>
      <c r="AG225" s="13">
        <v>81.0</v>
      </c>
      <c r="AH225" s="29">
        <v>6852727.0</v>
      </c>
      <c r="AI225" s="17"/>
    </row>
    <row r="226">
      <c r="O226" s="13">
        <v>1.0</v>
      </c>
      <c r="P226" s="13" t="s">
        <v>913</v>
      </c>
      <c r="Q226" s="13">
        <v>46.0</v>
      </c>
      <c r="R226" s="29">
        <v>4593428.0</v>
      </c>
      <c r="X226" s="13">
        <v>1.0</v>
      </c>
      <c r="Y226" s="13" t="s">
        <v>914</v>
      </c>
      <c r="Z226" s="13">
        <v>71.0</v>
      </c>
      <c r="AA226" s="29">
        <v>4014490.0</v>
      </c>
      <c r="AB226" s="17"/>
      <c r="AE226" s="13">
        <v>1.0</v>
      </c>
      <c r="AF226" s="13" t="s">
        <v>915</v>
      </c>
      <c r="AG226" s="13">
        <v>81.0</v>
      </c>
      <c r="AH226" s="29">
        <v>6898411.0</v>
      </c>
      <c r="AI226" s="17"/>
    </row>
    <row r="227">
      <c r="O227" s="13">
        <v>1.0</v>
      </c>
      <c r="P227" s="13" t="s">
        <v>916</v>
      </c>
      <c r="Q227" s="13">
        <v>57.0</v>
      </c>
      <c r="R227" s="29">
        <v>5001184.0</v>
      </c>
      <c r="X227" s="13">
        <v>2.0</v>
      </c>
      <c r="Y227" s="13" t="s">
        <v>917</v>
      </c>
      <c r="Z227" s="13">
        <v>55.0</v>
      </c>
      <c r="AA227" s="29">
        <v>4081423.0</v>
      </c>
      <c r="AB227" s="27">
        <f>AA227*X227</f>
        <v>8162846</v>
      </c>
      <c r="AE227" s="13">
        <v>1.0</v>
      </c>
      <c r="AF227" s="13" t="s">
        <v>918</v>
      </c>
      <c r="AG227" s="13">
        <v>51.0</v>
      </c>
      <c r="AH227" s="29">
        <v>4867494.0</v>
      </c>
      <c r="AI227" s="17"/>
    </row>
    <row r="228">
      <c r="O228" s="13">
        <v>1.0</v>
      </c>
      <c r="P228" s="13" t="s">
        <v>919</v>
      </c>
      <c r="Q228" s="13">
        <v>46.0</v>
      </c>
      <c r="R228" s="29">
        <v>4612487.0</v>
      </c>
      <c r="X228" s="13">
        <v>1.0</v>
      </c>
      <c r="Y228" s="13" t="s">
        <v>920</v>
      </c>
      <c r="Z228" s="13">
        <v>55.0</v>
      </c>
      <c r="AA228" s="29">
        <v>3990701.0</v>
      </c>
      <c r="AB228" s="17"/>
      <c r="AE228" s="13">
        <v>1.0</v>
      </c>
      <c r="AF228" s="13" t="s">
        <v>921</v>
      </c>
      <c r="AG228" s="13">
        <v>81.0</v>
      </c>
      <c r="AH228" s="29">
        <v>6944096.0</v>
      </c>
      <c r="AI228" s="17"/>
    </row>
    <row r="229">
      <c r="O229" s="13">
        <v>1.0</v>
      </c>
      <c r="P229" s="13" t="s">
        <v>922</v>
      </c>
      <c r="Q229" s="13">
        <v>46.0</v>
      </c>
      <c r="R229" s="29">
        <v>4630714.0</v>
      </c>
      <c r="X229" s="13">
        <v>1.0</v>
      </c>
      <c r="Y229" s="13" t="s">
        <v>923</v>
      </c>
      <c r="Z229" s="13">
        <v>51.0</v>
      </c>
      <c r="AA229" s="29">
        <v>3832441.0</v>
      </c>
      <c r="AB229" s="17"/>
      <c r="AE229" s="13">
        <v>1.0</v>
      </c>
      <c r="AF229" s="13" t="s">
        <v>924</v>
      </c>
      <c r="AG229" s="13">
        <v>41.0</v>
      </c>
      <c r="AH229" s="29">
        <v>3667235.0</v>
      </c>
      <c r="AI229" s="17"/>
    </row>
    <row r="230">
      <c r="O230" s="13">
        <v>1.0</v>
      </c>
      <c r="P230" s="13" t="s">
        <v>925</v>
      </c>
      <c r="Q230" s="13">
        <v>46.0</v>
      </c>
      <c r="R230" s="29">
        <v>4462927.0</v>
      </c>
      <c r="X230" s="13">
        <v>1.0</v>
      </c>
      <c r="Y230" s="13" t="s">
        <v>926</v>
      </c>
      <c r="Z230" s="13">
        <v>50.0</v>
      </c>
      <c r="AA230" s="29">
        <v>3777244.0</v>
      </c>
      <c r="AB230" s="17"/>
      <c r="AE230" s="13">
        <v>1.0</v>
      </c>
      <c r="AF230" s="13" t="s">
        <v>927</v>
      </c>
      <c r="AG230" s="13">
        <v>39.0</v>
      </c>
      <c r="AH230" s="29">
        <v>3423452.0</v>
      </c>
      <c r="AI230" s="17"/>
    </row>
    <row r="231">
      <c r="O231" s="13">
        <v>1.0</v>
      </c>
      <c r="P231" s="13" t="s">
        <v>928</v>
      </c>
      <c r="Q231" s="13">
        <v>46.0</v>
      </c>
      <c r="R231" s="29">
        <v>4519263.0</v>
      </c>
      <c r="X231" s="13">
        <v>1.0</v>
      </c>
      <c r="Y231" s="13" t="s">
        <v>929</v>
      </c>
      <c r="Z231" s="13">
        <v>51.0</v>
      </c>
      <c r="AA231" s="29">
        <v>3835424.0</v>
      </c>
      <c r="AB231" s="17"/>
      <c r="AE231" s="13">
        <v>1.0</v>
      </c>
      <c r="AF231" s="13" t="s">
        <v>930</v>
      </c>
      <c r="AG231" s="13">
        <v>89.0</v>
      </c>
      <c r="AH231" s="29">
        <v>6858540.0</v>
      </c>
      <c r="AI231" s="17"/>
    </row>
    <row r="232">
      <c r="O232" s="13">
        <v>1.0</v>
      </c>
      <c r="P232" s="13" t="s">
        <v>931</v>
      </c>
      <c r="Q232" s="13">
        <v>46.0</v>
      </c>
      <c r="R232" s="29">
        <v>3945612.0</v>
      </c>
      <c r="X232" s="13">
        <v>1.0</v>
      </c>
      <c r="Y232" s="13" t="s">
        <v>932</v>
      </c>
      <c r="Z232" s="13">
        <v>77.0</v>
      </c>
      <c r="AA232" s="29">
        <v>5086317.0</v>
      </c>
      <c r="AB232" s="17"/>
      <c r="AE232" s="13">
        <v>2.0</v>
      </c>
      <c r="AF232" s="13" t="s">
        <v>933</v>
      </c>
      <c r="AG232" s="13">
        <v>81.0</v>
      </c>
      <c r="AH232" s="29">
        <v>6350193.0</v>
      </c>
      <c r="AI232" s="27">
        <f>AH232*AE232</f>
        <v>12700386</v>
      </c>
    </row>
    <row r="233">
      <c r="O233" s="13">
        <v>1.0</v>
      </c>
      <c r="P233" s="13" t="s">
        <v>934</v>
      </c>
      <c r="Q233" s="13">
        <v>46.0</v>
      </c>
      <c r="R233" s="29">
        <v>4518856.0</v>
      </c>
      <c r="X233" s="13">
        <v>1.0</v>
      </c>
      <c r="Y233" s="13" t="s">
        <v>935</v>
      </c>
      <c r="Z233" s="13">
        <v>63.0</v>
      </c>
      <c r="AA233" s="29">
        <v>3705313.0</v>
      </c>
      <c r="AB233" s="17"/>
      <c r="AE233" s="13">
        <v>1.0</v>
      </c>
      <c r="AF233" s="13" t="s">
        <v>936</v>
      </c>
      <c r="AG233" s="13">
        <v>81.0</v>
      </c>
      <c r="AH233" s="29">
        <v>6395878.0</v>
      </c>
      <c r="AI233" s="17"/>
    </row>
    <row r="234">
      <c r="O234" s="13">
        <v>1.0</v>
      </c>
      <c r="P234" s="13" t="s">
        <v>937</v>
      </c>
      <c r="Q234" s="13">
        <v>46.0</v>
      </c>
      <c r="R234" s="29">
        <v>3964192.0</v>
      </c>
      <c r="X234" s="13">
        <v>1.0</v>
      </c>
      <c r="Y234" s="13" t="s">
        <v>938</v>
      </c>
      <c r="Z234" s="13">
        <v>62.0</v>
      </c>
      <c r="AA234" s="29">
        <v>3639525.0</v>
      </c>
      <c r="AB234" s="17"/>
      <c r="AE234" s="13">
        <v>2.0</v>
      </c>
      <c r="AF234" s="13" t="s">
        <v>939</v>
      </c>
      <c r="AG234" s="13">
        <v>81.0</v>
      </c>
      <c r="AH234" s="29">
        <v>6395878.0</v>
      </c>
      <c r="AI234" s="27">
        <f>AH234*AE234</f>
        <v>12791756</v>
      </c>
    </row>
    <row r="235">
      <c r="O235" s="13">
        <v>1.0</v>
      </c>
      <c r="P235" s="13" t="s">
        <v>940</v>
      </c>
      <c r="Q235" s="13">
        <v>87.0</v>
      </c>
      <c r="R235" s="29">
        <v>7579002.0</v>
      </c>
      <c r="X235" s="13">
        <v>1.0</v>
      </c>
      <c r="Y235" s="13" t="s">
        <v>941</v>
      </c>
      <c r="Z235" s="13">
        <v>62.0</v>
      </c>
      <c r="AA235" s="29">
        <v>3628884.0</v>
      </c>
      <c r="AB235" s="17"/>
      <c r="AE235" s="13">
        <v>1.0</v>
      </c>
      <c r="AF235" s="13" t="s">
        <v>942</v>
      </c>
      <c r="AG235" s="13">
        <v>100.0</v>
      </c>
      <c r="AH235" s="29">
        <v>7376851.0</v>
      </c>
      <c r="AI235" s="17"/>
    </row>
    <row r="236">
      <c r="O236" s="13">
        <v>1.0</v>
      </c>
      <c r="P236" s="13" t="s">
        <v>943</v>
      </c>
      <c r="Q236" s="13">
        <v>92.0</v>
      </c>
      <c r="R236" s="29">
        <v>8341732.0</v>
      </c>
      <c r="X236" s="13">
        <v>1.0</v>
      </c>
      <c r="Y236" s="13" t="s">
        <v>944</v>
      </c>
      <c r="Z236" s="13">
        <v>97.0</v>
      </c>
      <c r="AA236" s="29">
        <v>4827856.0</v>
      </c>
      <c r="AB236" s="17"/>
      <c r="AE236" s="13">
        <v>2.0</v>
      </c>
      <c r="AF236" s="13" t="s">
        <v>945</v>
      </c>
      <c r="AG236" s="13">
        <v>81.0</v>
      </c>
      <c r="AH236" s="29">
        <v>6441563.0</v>
      </c>
      <c r="AI236" s="27">
        <f>AH236*AE236</f>
        <v>12883126</v>
      </c>
    </row>
    <row r="237">
      <c r="O237" s="13">
        <v>1.0</v>
      </c>
      <c r="P237" s="13" t="s">
        <v>946</v>
      </c>
      <c r="Q237" s="13">
        <v>92.0</v>
      </c>
      <c r="R237" s="29">
        <v>8381694.0</v>
      </c>
      <c r="X237" s="13">
        <v>1.0</v>
      </c>
      <c r="Y237" s="13" t="s">
        <v>947</v>
      </c>
      <c r="Z237" s="13">
        <v>57.0</v>
      </c>
      <c r="AA237" s="29">
        <v>3767412.0</v>
      </c>
      <c r="AB237" s="17"/>
      <c r="AE237" s="13">
        <v>1.0</v>
      </c>
      <c r="AF237" s="88" t="s">
        <v>948</v>
      </c>
      <c r="AG237" s="13">
        <v>100.0</v>
      </c>
      <c r="AH237" s="29">
        <v>7433163.0</v>
      </c>
      <c r="AI237" s="17"/>
    </row>
    <row r="238">
      <c r="O238" s="13">
        <v>1.0</v>
      </c>
      <c r="P238" s="13" t="s">
        <v>949</v>
      </c>
      <c r="Q238" s="13">
        <v>92.0</v>
      </c>
      <c r="R238" s="29">
        <v>8457141.0</v>
      </c>
      <c r="X238" s="13">
        <v>1.0</v>
      </c>
      <c r="Y238" s="13" t="s">
        <v>950</v>
      </c>
      <c r="Z238" s="13">
        <v>50.0</v>
      </c>
      <c r="AA238" s="29">
        <v>3303008.0</v>
      </c>
      <c r="AB238" s="17"/>
      <c r="AE238" s="13">
        <v>2.0</v>
      </c>
      <c r="AF238" s="13" t="s">
        <v>951</v>
      </c>
      <c r="AG238" s="13">
        <v>81.0</v>
      </c>
      <c r="AH238" s="29">
        <v>6487248.0</v>
      </c>
      <c r="AI238" s="27">
        <f>AH238*AE238</f>
        <v>12974496</v>
      </c>
    </row>
    <row r="239">
      <c r="O239" s="13">
        <v>1.0</v>
      </c>
      <c r="P239" s="13" t="s">
        <v>952</v>
      </c>
      <c r="Q239" s="13">
        <v>101.0</v>
      </c>
      <c r="R239" s="29">
        <v>9182187.0</v>
      </c>
      <c r="X239" s="13">
        <v>1.0</v>
      </c>
      <c r="Y239" s="13" t="s">
        <v>953</v>
      </c>
      <c r="Z239" s="13">
        <v>51.0</v>
      </c>
      <c r="AA239" s="29">
        <v>3353884.0</v>
      </c>
      <c r="AB239" s="17"/>
      <c r="AE239" s="13">
        <v>1.0</v>
      </c>
      <c r="AF239" s="13" t="s">
        <v>954</v>
      </c>
      <c r="AG239" s="13">
        <v>100.0</v>
      </c>
      <c r="AH239" s="29">
        <v>7489475.0</v>
      </c>
      <c r="AI239" s="17"/>
    </row>
    <row r="240">
      <c r="O240" s="13">
        <v>1.0</v>
      </c>
      <c r="P240" s="13" t="s">
        <v>955</v>
      </c>
      <c r="Q240" s="13">
        <v>92.0</v>
      </c>
      <c r="R240" s="29">
        <v>8497082.0</v>
      </c>
      <c r="X240" s="13">
        <v>1.0</v>
      </c>
      <c r="Y240" s="13" t="s">
        <v>956</v>
      </c>
      <c r="Z240" s="13">
        <v>55.0</v>
      </c>
      <c r="AA240" s="29">
        <v>3465720.0</v>
      </c>
      <c r="AB240" s="17"/>
      <c r="AE240" s="13">
        <v>2.0</v>
      </c>
      <c r="AF240" s="13" t="s">
        <v>957</v>
      </c>
      <c r="AG240" s="13">
        <v>81.0</v>
      </c>
      <c r="AH240" s="29">
        <v>6532933.0</v>
      </c>
      <c r="AI240" s="27">
        <f>AH240*AE240</f>
        <v>13065866</v>
      </c>
    </row>
    <row r="241">
      <c r="O241" s="13">
        <v>1.0</v>
      </c>
      <c r="P241" s="13" t="s">
        <v>958</v>
      </c>
      <c r="Q241" s="13">
        <v>57.0</v>
      </c>
      <c r="R241" s="29">
        <v>4942384.0</v>
      </c>
      <c r="X241" s="13">
        <v>1.0</v>
      </c>
      <c r="Y241" s="13" t="s">
        <v>959</v>
      </c>
      <c r="Z241" s="13">
        <v>51.0</v>
      </c>
      <c r="AA241" s="29">
        <v>3351275.0</v>
      </c>
      <c r="AB241" s="17"/>
      <c r="AE241" s="13">
        <v>1.0</v>
      </c>
      <c r="AF241" s="13" t="s">
        <v>960</v>
      </c>
      <c r="AG241" s="13">
        <v>327.0</v>
      </c>
      <c r="AH241" s="29">
        <v>2.1485662E7</v>
      </c>
      <c r="AI241" s="17"/>
    </row>
    <row r="242">
      <c r="O242" s="13">
        <v>1.0</v>
      </c>
      <c r="P242" s="13" t="s">
        <v>961</v>
      </c>
      <c r="Q242" s="13">
        <v>78.0</v>
      </c>
      <c r="R242" s="29">
        <v>6778762.0</v>
      </c>
      <c r="X242" s="13">
        <v>1.0</v>
      </c>
      <c r="Y242" s="13" t="s">
        <v>962</v>
      </c>
      <c r="Z242" s="13">
        <v>51.0</v>
      </c>
      <c r="AA242" s="29">
        <v>3353884.0</v>
      </c>
      <c r="AB242" s="17"/>
      <c r="AH242" s="40">
        <f>AI216+AH217+AI218+SUM(AH219:AH231)+AI232+AH233+AI234+AH235+AI236+AH237+AI238+AH239+AI240+AH241</f>
        <v>227469445</v>
      </c>
    </row>
    <row r="243">
      <c r="O243" s="13">
        <v>1.0</v>
      </c>
      <c r="P243" s="13" t="s">
        <v>963</v>
      </c>
      <c r="Q243" s="13">
        <v>87.0</v>
      </c>
      <c r="R243" s="29">
        <v>7616784.0</v>
      </c>
      <c r="X243" s="13">
        <v>1.0</v>
      </c>
      <c r="Y243" s="13" t="s">
        <v>964</v>
      </c>
      <c r="Z243" s="13">
        <v>55.0</v>
      </c>
      <c r="AA243" s="29">
        <v>3601740.0</v>
      </c>
      <c r="AB243" s="17"/>
      <c r="AE243" s="9" t="s">
        <v>965</v>
      </c>
    </row>
    <row r="244">
      <c r="O244" s="13">
        <v>1.0</v>
      </c>
      <c r="P244" s="13" t="s">
        <v>966</v>
      </c>
      <c r="Q244" s="13">
        <v>65.0</v>
      </c>
      <c r="R244" s="29">
        <v>5590222.0</v>
      </c>
      <c r="X244" s="13">
        <v>1.0</v>
      </c>
      <c r="Y244" s="13" t="s">
        <v>967</v>
      </c>
      <c r="Z244" s="13">
        <v>52.0</v>
      </c>
      <c r="AA244" s="29">
        <v>3483049.0</v>
      </c>
      <c r="AB244" s="17"/>
      <c r="AE244" s="13" t="s">
        <v>45</v>
      </c>
      <c r="AF244" s="13" t="s">
        <v>68</v>
      </c>
      <c r="AG244" s="13" t="s">
        <v>66</v>
      </c>
      <c r="AH244" s="13" t="s">
        <v>69</v>
      </c>
      <c r="AI244" s="17"/>
    </row>
    <row r="245">
      <c r="O245" s="13">
        <v>1.0</v>
      </c>
      <c r="P245" s="13" t="s">
        <v>968</v>
      </c>
      <c r="Q245" s="13">
        <v>57.0</v>
      </c>
      <c r="R245" s="29">
        <v>4966884.0</v>
      </c>
      <c r="X245" s="13">
        <v>1.0</v>
      </c>
      <c r="Y245" s="13" t="s">
        <v>969</v>
      </c>
      <c r="Z245" s="13">
        <v>52.0</v>
      </c>
      <c r="AA245" s="29">
        <v>3621678.0</v>
      </c>
      <c r="AB245" s="17"/>
      <c r="AE245" s="13">
        <v>1.0</v>
      </c>
      <c r="AF245" s="13" t="s">
        <v>970</v>
      </c>
      <c r="AG245" s="13">
        <v>69.0</v>
      </c>
      <c r="AH245" s="29">
        <v>4878016.0</v>
      </c>
      <c r="AI245" s="17"/>
    </row>
    <row r="246">
      <c r="O246" s="13">
        <v>1.0</v>
      </c>
      <c r="P246" s="13" t="s">
        <v>971</v>
      </c>
      <c r="Q246" s="13">
        <v>57.0</v>
      </c>
      <c r="R246" s="29">
        <v>4991384.0</v>
      </c>
      <c r="X246" s="13">
        <v>1.0</v>
      </c>
      <c r="Y246" s="13" t="s">
        <v>972</v>
      </c>
      <c r="Z246" s="13">
        <v>55.0</v>
      </c>
      <c r="AA246" s="29">
        <v>3740269.0</v>
      </c>
      <c r="AB246" s="17"/>
      <c r="AE246" s="13">
        <v>1.0</v>
      </c>
      <c r="AF246" s="13" t="s">
        <v>973</v>
      </c>
      <c r="AG246" s="13">
        <v>69.0</v>
      </c>
      <c r="AH246" s="29">
        <v>5031076.0</v>
      </c>
      <c r="AI246" s="17"/>
    </row>
    <row r="247">
      <c r="O247" s="13">
        <v>1.0</v>
      </c>
      <c r="P247" s="13" t="s">
        <v>974</v>
      </c>
      <c r="Q247" s="13">
        <v>90.0</v>
      </c>
      <c r="R247" s="29">
        <v>7857133.0</v>
      </c>
      <c r="X247" s="13">
        <v>1.0</v>
      </c>
      <c r="Y247" s="13" t="s">
        <v>975</v>
      </c>
      <c r="Z247" s="13">
        <v>65.0</v>
      </c>
      <c r="AA247" s="29">
        <v>1960200.0</v>
      </c>
      <c r="AB247" s="17"/>
      <c r="AE247" s="13">
        <v>1.0</v>
      </c>
      <c r="AF247" s="13" t="s">
        <v>976</v>
      </c>
      <c r="AG247" s="13">
        <v>69.0</v>
      </c>
      <c r="AH247" s="29">
        <v>4898803.0</v>
      </c>
      <c r="AI247" s="17"/>
    </row>
    <row r="248">
      <c r="O248" s="13">
        <v>1.0</v>
      </c>
      <c r="P248" s="13" t="s">
        <v>977</v>
      </c>
      <c r="Q248" s="13">
        <v>66.0</v>
      </c>
      <c r="R248" s="29">
        <v>5684113.0</v>
      </c>
      <c r="X248" s="13">
        <v>1.0</v>
      </c>
      <c r="Y248" s="13" t="s">
        <v>978</v>
      </c>
      <c r="Z248" s="13">
        <v>47.0</v>
      </c>
      <c r="AA248" s="29">
        <v>1421700.0</v>
      </c>
      <c r="AB248" s="17"/>
      <c r="AE248" s="13">
        <v>1.0</v>
      </c>
      <c r="AF248" s="13" t="s">
        <v>979</v>
      </c>
      <c r="AG248" s="13">
        <v>73.0</v>
      </c>
      <c r="AH248" s="29">
        <v>5163221.0</v>
      </c>
      <c r="AI248" s="17"/>
    </row>
    <row r="249">
      <c r="O249" s="13">
        <v>1.0</v>
      </c>
      <c r="P249" s="13" t="s">
        <v>980</v>
      </c>
      <c r="Q249" s="13">
        <v>92.0</v>
      </c>
      <c r="R249" s="29">
        <v>8101959.0</v>
      </c>
      <c r="X249" s="13">
        <v>1.0</v>
      </c>
      <c r="Y249" s="13" t="s">
        <v>981</v>
      </c>
      <c r="Z249" s="13">
        <v>47.0</v>
      </c>
      <c r="AA249" s="29">
        <v>1421700.0</v>
      </c>
      <c r="AB249" s="17"/>
      <c r="AE249" s="13">
        <v>1.0</v>
      </c>
      <c r="AF249" s="13" t="s">
        <v>982</v>
      </c>
      <c r="AG249" s="13">
        <v>69.0</v>
      </c>
      <c r="AH249" s="29">
        <v>4933790.0</v>
      </c>
      <c r="AI249" s="17"/>
    </row>
    <row r="250">
      <c r="O250" s="13">
        <v>1.0</v>
      </c>
      <c r="P250" s="13" t="s">
        <v>983</v>
      </c>
      <c r="Q250" s="13">
        <v>57.0</v>
      </c>
      <c r="R250" s="29">
        <v>5040428.0</v>
      </c>
      <c r="X250" s="13">
        <v>1.0</v>
      </c>
      <c r="Y250" s="13" t="s">
        <v>984</v>
      </c>
      <c r="Z250" s="13">
        <v>41.0</v>
      </c>
      <c r="AA250" s="29">
        <v>1250400.0</v>
      </c>
      <c r="AB250" s="17"/>
      <c r="AE250" s="13">
        <v>1.0</v>
      </c>
      <c r="AF250" s="13" t="s">
        <v>985</v>
      </c>
      <c r="AG250" s="13">
        <v>69.0</v>
      </c>
      <c r="AH250" s="29">
        <v>5072770.0</v>
      </c>
      <c r="AI250" s="17"/>
    </row>
    <row r="251">
      <c r="O251" s="13">
        <v>1.0</v>
      </c>
      <c r="P251" s="13" t="s">
        <v>986</v>
      </c>
      <c r="Q251" s="13">
        <v>92.0</v>
      </c>
      <c r="R251" s="29">
        <v>8141921.0</v>
      </c>
      <c r="X251" s="13">
        <v>1.0</v>
      </c>
      <c r="Y251" s="13" t="s">
        <v>987</v>
      </c>
      <c r="Z251" s="13">
        <v>40.0</v>
      </c>
      <c r="AA251" s="29">
        <v>1218600.0</v>
      </c>
      <c r="AB251" s="17"/>
      <c r="AE251" s="13">
        <v>1.0</v>
      </c>
      <c r="AF251" s="13" t="s">
        <v>988</v>
      </c>
      <c r="AG251" s="13">
        <v>75.0</v>
      </c>
      <c r="AH251" s="29">
        <v>5504844.0</v>
      </c>
      <c r="AI251" s="17"/>
    </row>
    <row r="252">
      <c r="O252" s="13">
        <v>1.0</v>
      </c>
      <c r="P252" s="13" t="s">
        <v>989</v>
      </c>
      <c r="Q252" s="13">
        <v>78.0</v>
      </c>
      <c r="R252" s="29">
        <v>6914326.0</v>
      </c>
      <c r="X252" s="13">
        <v>2.0</v>
      </c>
      <c r="Y252" s="13" t="s">
        <v>990</v>
      </c>
      <c r="Z252" s="13">
        <v>40.0</v>
      </c>
      <c r="AA252" s="29">
        <v>1219500.0</v>
      </c>
      <c r="AB252" s="27">
        <f t="shared" ref="AB252:AB253" si="44">AA252*X252</f>
        <v>2439000</v>
      </c>
      <c r="AE252" s="13">
        <v>1.0</v>
      </c>
      <c r="AF252" s="13" t="s">
        <v>991</v>
      </c>
      <c r="AG252" s="13">
        <v>74.0</v>
      </c>
      <c r="AH252" s="29">
        <v>5187700.0</v>
      </c>
      <c r="AI252" s="17"/>
    </row>
    <row r="253">
      <c r="O253" s="13">
        <v>1.0</v>
      </c>
      <c r="P253" s="13" t="s">
        <v>992</v>
      </c>
      <c r="Q253" s="13">
        <v>57.0</v>
      </c>
      <c r="R253" s="29">
        <v>5064928.0</v>
      </c>
      <c r="X253" s="13">
        <v>2.0</v>
      </c>
      <c r="Y253" s="13" t="s">
        <v>993</v>
      </c>
      <c r="Z253" s="13">
        <v>65.0</v>
      </c>
      <c r="AA253" s="29">
        <v>1960200.0</v>
      </c>
      <c r="AB253" s="27">
        <f t="shared" si="44"/>
        <v>3920400</v>
      </c>
      <c r="AE253" s="13">
        <v>3.0</v>
      </c>
      <c r="AF253" s="13" t="s">
        <v>994</v>
      </c>
      <c r="AG253" s="13">
        <v>47.0</v>
      </c>
      <c r="AH253" s="29">
        <v>3227175.0</v>
      </c>
      <c r="AI253" s="27">
        <f>AH253*AE253</f>
        <v>9681525</v>
      </c>
    </row>
    <row r="254">
      <c r="O254" s="13">
        <v>1.0</v>
      </c>
      <c r="P254" s="13" t="s">
        <v>995</v>
      </c>
      <c r="Q254" s="13">
        <v>92.0</v>
      </c>
      <c r="R254" s="29">
        <v>8181883.0</v>
      </c>
      <c r="X254" s="13">
        <v>1.0</v>
      </c>
      <c r="Y254" s="13" t="s">
        <v>996</v>
      </c>
      <c r="Z254" s="13">
        <v>35.0</v>
      </c>
      <c r="AA254" s="29">
        <v>1059000.0</v>
      </c>
      <c r="AB254" s="17"/>
      <c r="AE254" s="13">
        <v>1.0</v>
      </c>
      <c r="AF254" s="13" t="s">
        <v>997</v>
      </c>
      <c r="AG254" s="13">
        <v>46.0</v>
      </c>
      <c r="AH254" s="29">
        <v>3195074.0</v>
      </c>
      <c r="AI254" s="17"/>
    </row>
    <row r="255">
      <c r="O255" s="13">
        <v>1.0</v>
      </c>
      <c r="P255" s="13" t="s">
        <v>998</v>
      </c>
      <c r="Q255" s="13">
        <v>92.0</v>
      </c>
      <c r="R255" s="29">
        <v>8221845.0</v>
      </c>
      <c r="X255" s="13">
        <v>1.0</v>
      </c>
      <c r="Y255" s="13" t="s">
        <v>999</v>
      </c>
      <c r="Z255" s="13">
        <v>64.0</v>
      </c>
      <c r="AA255" s="29">
        <v>1945200.0</v>
      </c>
      <c r="AB255" s="17"/>
      <c r="AE255" s="13">
        <v>1.0</v>
      </c>
      <c r="AF255" s="13" t="s">
        <v>1000</v>
      </c>
      <c r="AG255" s="13">
        <v>49.0</v>
      </c>
      <c r="AH255" s="29">
        <v>3403389.0</v>
      </c>
      <c r="AI255" s="17"/>
    </row>
    <row r="256">
      <c r="O256" s="13">
        <v>1.0</v>
      </c>
      <c r="P256" s="13" t="s">
        <v>1001</v>
      </c>
      <c r="Q256" s="13">
        <v>92.0</v>
      </c>
      <c r="R256" s="29">
        <v>8261808.0</v>
      </c>
      <c r="X256" s="13">
        <v>1.0</v>
      </c>
      <c r="Y256" s="13" t="s">
        <v>1002</v>
      </c>
      <c r="Z256" s="13">
        <v>47.0</v>
      </c>
      <c r="AA256" s="29">
        <v>1424100.0</v>
      </c>
      <c r="AB256" s="17"/>
      <c r="AE256" s="13">
        <v>1.0</v>
      </c>
      <c r="AF256" s="13" t="s">
        <v>1003</v>
      </c>
      <c r="AG256" s="13">
        <v>47.0</v>
      </c>
      <c r="AH256" s="29">
        <v>3434912.0</v>
      </c>
      <c r="AI256" s="17"/>
    </row>
    <row r="257">
      <c r="O257" s="13">
        <v>1.0</v>
      </c>
      <c r="P257" s="13" t="s">
        <v>1004</v>
      </c>
      <c r="Q257" s="13">
        <v>175.0</v>
      </c>
      <c r="R257" s="29">
        <v>1.0898645E7</v>
      </c>
      <c r="X257" s="13">
        <v>1.0</v>
      </c>
      <c r="Y257" s="13" t="s">
        <v>1005</v>
      </c>
      <c r="Z257" s="13">
        <v>55.0</v>
      </c>
      <c r="AA257" s="29">
        <v>4194750.0</v>
      </c>
      <c r="AB257" s="17"/>
      <c r="AE257" s="13">
        <v>1.0</v>
      </c>
      <c r="AF257" s="13" t="s">
        <v>1006</v>
      </c>
      <c r="AG257" s="13">
        <v>74.0</v>
      </c>
      <c r="AH257" s="29">
        <v>5209933.0</v>
      </c>
      <c r="AI257" s="17"/>
    </row>
    <row r="258">
      <c r="R258" s="40">
        <f>SUM(R222:R257)</f>
        <v>229361324</v>
      </c>
      <c r="X258" s="13">
        <v>1.0</v>
      </c>
      <c r="Y258" s="13" t="s">
        <v>1007</v>
      </c>
      <c r="Z258" s="13">
        <v>59.0</v>
      </c>
      <c r="AA258" s="29">
        <v>4482750.0</v>
      </c>
      <c r="AB258" s="17"/>
      <c r="AE258" s="13">
        <v>1.0</v>
      </c>
      <c r="AF258" s="13" t="s">
        <v>1008</v>
      </c>
      <c r="AG258" s="13">
        <v>48.0</v>
      </c>
      <c r="AH258" s="29">
        <v>3398448.0</v>
      </c>
      <c r="AI258" s="17"/>
    </row>
    <row r="259">
      <c r="O259" s="9" t="s">
        <v>1009</v>
      </c>
      <c r="X259" s="13">
        <v>1.0</v>
      </c>
      <c r="Y259" s="13" t="s">
        <v>1010</v>
      </c>
      <c r="Z259" s="13">
        <v>59.0</v>
      </c>
      <c r="AA259" s="29">
        <v>4497750.0</v>
      </c>
      <c r="AB259" s="17"/>
      <c r="AE259" s="13">
        <v>1.0</v>
      </c>
      <c r="AF259" s="13" t="s">
        <v>1011</v>
      </c>
      <c r="AG259" s="13">
        <v>74.0</v>
      </c>
      <c r="AH259" s="29">
        <v>5232166.0</v>
      </c>
      <c r="AI259" s="17"/>
    </row>
    <row r="260">
      <c r="O260" s="13" t="s">
        <v>45</v>
      </c>
      <c r="P260" s="13" t="s">
        <v>68</v>
      </c>
      <c r="Q260" s="13" t="s">
        <v>66</v>
      </c>
      <c r="R260" s="13" t="s">
        <v>69</v>
      </c>
      <c r="X260" s="13">
        <v>1.0</v>
      </c>
      <c r="Y260" s="13" t="s">
        <v>1012</v>
      </c>
      <c r="Z260" s="13">
        <v>101.0</v>
      </c>
      <c r="AA260" s="29">
        <v>7587750.0</v>
      </c>
      <c r="AB260" s="17"/>
      <c r="AE260" s="13">
        <v>5.0</v>
      </c>
      <c r="AF260" s="13" t="s">
        <v>1013</v>
      </c>
      <c r="AG260" s="13">
        <v>47.0</v>
      </c>
      <c r="AH260" s="29">
        <v>3255525.0</v>
      </c>
      <c r="AI260" s="27">
        <f>AH260*AE260</f>
        <v>16277625</v>
      </c>
    </row>
    <row r="261">
      <c r="O261" s="13">
        <v>1.0</v>
      </c>
      <c r="P261" s="13" t="s">
        <v>1014</v>
      </c>
      <c r="Q261" s="13">
        <v>50.0</v>
      </c>
      <c r="R261" s="29">
        <v>2442277.0</v>
      </c>
      <c r="X261" s="13">
        <v>1.0</v>
      </c>
      <c r="Y261" s="13" t="s">
        <v>1015</v>
      </c>
      <c r="Z261" s="13">
        <v>291.0</v>
      </c>
      <c r="AA261" s="29">
        <v>1.408296E7</v>
      </c>
      <c r="AB261" s="17"/>
      <c r="AE261" s="13">
        <v>1.0</v>
      </c>
      <c r="AF261" s="13" t="s">
        <v>1016</v>
      </c>
      <c r="AG261" s="13">
        <v>46.0</v>
      </c>
      <c r="AH261" s="29">
        <v>3223142.0</v>
      </c>
      <c r="AI261" s="17"/>
    </row>
    <row r="262">
      <c r="O262" s="13">
        <v>1.0</v>
      </c>
      <c r="P262" s="13" t="s">
        <v>1017</v>
      </c>
      <c r="Q262" s="13">
        <v>67.0</v>
      </c>
      <c r="R262" s="29">
        <v>3542703.0</v>
      </c>
      <c r="X262" s="13">
        <v>6.0</v>
      </c>
      <c r="Y262" s="13" t="s">
        <v>1018</v>
      </c>
      <c r="Z262" s="13">
        <v>55.0</v>
      </c>
      <c r="AA262" s="29">
        <v>3355800.0</v>
      </c>
      <c r="AB262" s="27">
        <f>AA262*X262</f>
        <v>20134800</v>
      </c>
      <c r="AE262" s="13">
        <v>1.0</v>
      </c>
      <c r="AF262" s="13" t="s">
        <v>1019</v>
      </c>
      <c r="AG262" s="13">
        <v>48.0</v>
      </c>
      <c r="AH262" s="29">
        <v>3412992.0</v>
      </c>
      <c r="AI262" s="17"/>
    </row>
    <row r="263">
      <c r="O263" s="13">
        <v>1.0</v>
      </c>
      <c r="P263" s="13" t="s">
        <v>1020</v>
      </c>
      <c r="Q263" s="13">
        <v>58.0</v>
      </c>
      <c r="R263" s="29">
        <v>3050137.0</v>
      </c>
      <c r="X263" s="13">
        <v>1.0</v>
      </c>
      <c r="Y263" s="13" t="s">
        <v>1021</v>
      </c>
      <c r="Z263" s="13">
        <v>55.0</v>
      </c>
      <c r="AA263" s="29">
        <v>4194750.0</v>
      </c>
      <c r="AB263" s="17"/>
      <c r="AE263" s="13">
        <v>1.0</v>
      </c>
      <c r="AF263" s="13" t="s">
        <v>1022</v>
      </c>
      <c r="AG263" s="13">
        <v>49.0</v>
      </c>
      <c r="AH263" s="29">
        <v>3433287.0</v>
      </c>
      <c r="AI263" s="17"/>
    </row>
    <row r="264">
      <c r="O264" s="13">
        <v>1.0</v>
      </c>
      <c r="P264" s="13" t="s">
        <v>1023</v>
      </c>
      <c r="Q264" s="13">
        <v>67.0</v>
      </c>
      <c r="R264" s="29">
        <v>3561648.0</v>
      </c>
      <c r="X264" s="13">
        <v>1.0</v>
      </c>
      <c r="Y264" s="13" t="s">
        <v>1024</v>
      </c>
      <c r="Z264" s="13">
        <v>70.0</v>
      </c>
      <c r="AA264" s="29">
        <v>4240200.0</v>
      </c>
      <c r="AB264" s="17"/>
      <c r="AE264" s="13">
        <v>1.0</v>
      </c>
      <c r="AF264" s="13" t="s">
        <v>1025</v>
      </c>
      <c r="AG264" s="13">
        <v>48.0</v>
      </c>
      <c r="AH264" s="29">
        <v>3313401.0</v>
      </c>
      <c r="AI264" s="17"/>
    </row>
    <row r="265">
      <c r="O265" s="13">
        <v>1.0</v>
      </c>
      <c r="P265" s="13" t="s">
        <v>1026</v>
      </c>
      <c r="Q265" s="13">
        <v>52.0</v>
      </c>
      <c r="R265" s="29">
        <v>2964905.0</v>
      </c>
      <c r="X265" s="13">
        <v>1.0</v>
      </c>
      <c r="Y265" s="13" t="s">
        <v>1027</v>
      </c>
      <c r="Z265" s="13">
        <v>59.0</v>
      </c>
      <c r="AA265" s="29">
        <v>3574200.0</v>
      </c>
      <c r="AB265" s="17"/>
      <c r="AE265" s="13">
        <v>1.0</v>
      </c>
      <c r="AF265" s="13" t="s">
        <v>1028</v>
      </c>
      <c r="AG265" s="13">
        <v>48.0</v>
      </c>
      <c r="AH265" s="29">
        <v>3409581.0</v>
      </c>
      <c r="AI265" s="17"/>
    </row>
    <row r="266">
      <c r="O266" s="13">
        <v>1.0</v>
      </c>
      <c r="P266" s="13" t="s">
        <v>1029</v>
      </c>
      <c r="Q266" s="13">
        <v>59.0</v>
      </c>
      <c r="R266" s="29">
        <v>3112444.0</v>
      </c>
      <c r="X266" s="13">
        <v>1.0</v>
      </c>
      <c r="Y266" s="13" t="s">
        <v>1030</v>
      </c>
      <c r="Z266" s="13">
        <v>1174.0</v>
      </c>
      <c r="AA266" s="29">
        <v>5.2839E7</v>
      </c>
      <c r="AB266" s="17"/>
      <c r="AE266" s="13">
        <v>2.0</v>
      </c>
      <c r="AF266" s="13" t="s">
        <v>1031</v>
      </c>
      <c r="AG266" s="13">
        <v>47.0</v>
      </c>
      <c r="AH266" s="29">
        <v>3350025.0</v>
      </c>
      <c r="AI266" s="27">
        <f>AH266*AE266</f>
        <v>6700050</v>
      </c>
    </row>
    <row r="267">
      <c r="O267" s="13">
        <v>1.0</v>
      </c>
      <c r="P267" s="13" t="s">
        <v>1032</v>
      </c>
      <c r="Q267" s="13">
        <v>59.0</v>
      </c>
      <c r="R267" s="29">
        <v>3129178.0</v>
      </c>
      <c r="X267" s="13">
        <v>5.0</v>
      </c>
      <c r="Y267" s="13" t="s">
        <v>1033</v>
      </c>
      <c r="Z267" s="13">
        <v>55.0</v>
      </c>
      <c r="AA267" s="29">
        <v>4194750.0</v>
      </c>
      <c r="AB267" s="27">
        <f>AA267*X267</f>
        <v>20973750</v>
      </c>
      <c r="AE267" s="13">
        <v>1.0</v>
      </c>
      <c r="AF267" s="13" t="s">
        <v>1034</v>
      </c>
      <c r="AG267" s="13">
        <v>48.0</v>
      </c>
      <c r="AH267" s="29">
        <v>3427306.0</v>
      </c>
      <c r="AI267" s="17"/>
    </row>
    <row r="268">
      <c r="O268" s="13">
        <v>1.0</v>
      </c>
      <c r="P268" s="13" t="s">
        <v>1035</v>
      </c>
      <c r="Q268" s="13">
        <v>55.0</v>
      </c>
      <c r="R268" s="29">
        <v>2944358.0</v>
      </c>
      <c r="X268" s="13">
        <v>1.0</v>
      </c>
      <c r="Y268" s="13" t="s">
        <v>1036</v>
      </c>
      <c r="Z268" s="13">
        <v>70.0</v>
      </c>
      <c r="AA268" s="29">
        <v>5304000.0</v>
      </c>
      <c r="AB268" s="17"/>
      <c r="AE268" s="13">
        <v>1.0</v>
      </c>
      <c r="AF268" s="13" t="s">
        <v>1037</v>
      </c>
      <c r="AG268" s="13">
        <v>69.0</v>
      </c>
      <c r="AH268" s="29">
        <v>4926841.0</v>
      </c>
      <c r="AI268" s="17"/>
    </row>
    <row r="269">
      <c r="O269" s="13">
        <v>1.0</v>
      </c>
      <c r="P269" s="13" t="s">
        <v>1038</v>
      </c>
      <c r="Q269" s="13">
        <v>67.0</v>
      </c>
      <c r="R269" s="29">
        <v>3599537.0</v>
      </c>
      <c r="X269" s="13">
        <v>1.0</v>
      </c>
      <c r="Y269" s="13" t="s">
        <v>1039</v>
      </c>
      <c r="Z269" s="13">
        <v>59.0</v>
      </c>
      <c r="AA269" s="29">
        <v>4467750.0</v>
      </c>
      <c r="AB269" s="17"/>
      <c r="AE269" s="13">
        <v>1.0</v>
      </c>
      <c r="AF269" s="13" t="s">
        <v>1040</v>
      </c>
      <c r="AG269" s="13">
        <v>75.0</v>
      </c>
      <c r="AH269" s="29">
        <v>5391264.0</v>
      </c>
      <c r="AI269" s="17"/>
    </row>
    <row r="270">
      <c r="O270" s="13">
        <v>1.0</v>
      </c>
      <c r="P270" s="13" t="s">
        <v>1041</v>
      </c>
      <c r="Q270" s="13">
        <v>52.0</v>
      </c>
      <c r="R270" s="29">
        <v>2994554.0</v>
      </c>
      <c r="AA270" s="40">
        <f>SUM(AA211:AA214)+AB215+SUM(AA216:AA226)+AB227+SUM(AA228:AA251)+SUM(AB252:AB253)+SUM(AA254:AA261)+AB262+SUM(AA263:AA266)+AB267+SUM(AA268:AA269)</f>
        <v>320674203</v>
      </c>
      <c r="AE270" s="13">
        <v>2.0</v>
      </c>
      <c r="AF270" s="13" t="s">
        <v>1042</v>
      </c>
      <c r="AG270" s="13">
        <v>69.0</v>
      </c>
      <c r="AH270" s="29">
        <v>4808708.0</v>
      </c>
      <c r="AI270" s="27">
        <f>AH270*AE270</f>
        <v>9617416</v>
      </c>
    </row>
    <row r="271">
      <c r="O271" s="13">
        <v>1.0</v>
      </c>
      <c r="P271" s="13" t="s">
        <v>1043</v>
      </c>
      <c r="Q271" s="13">
        <v>59.0</v>
      </c>
      <c r="R271" s="29">
        <v>3145912.0</v>
      </c>
      <c r="X271" s="9" t="s">
        <v>1044</v>
      </c>
      <c r="AE271" s="13">
        <v>1.0</v>
      </c>
      <c r="AF271" s="13" t="s">
        <v>1045</v>
      </c>
      <c r="AG271" s="13">
        <v>74.0</v>
      </c>
      <c r="AH271" s="29">
        <v>5185156.0</v>
      </c>
      <c r="AI271" s="17"/>
    </row>
    <row r="272">
      <c r="O272" s="13">
        <v>1.0</v>
      </c>
      <c r="P272" s="13" t="s">
        <v>1046</v>
      </c>
      <c r="Q272" s="13">
        <v>55.0</v>
      </c>
      <c r="R272" s="29">
        <v>2960020.0</v>
      </c>
      <c r="X272" s="13" t="s">
        <v>45</v>
      </c>
      <c r="Y272" s="13" t="s">
        <v>68</v>
      </c>
      <c r="Z272" s="13" t="s">
        <v>66</v>
      </c>
      <c r="AA272" s="13" t="s">
        <v>69</v>
      </c>
      <c r="AB272" s="17"/>
      <c r="AE272" s="13">
        <v>1.0</v>
      </c>
      <c r="AF272" s="13" t="s">
        <v>1047</v>
      </c>
      <c r="AG272" s="13">
        <v>73.0</v>
      </c>
      <c r="AH272" s="29">
        <v>5053676.0</v>
      </c>
      <c r="AI272" s="17"/>
    </row>
    <row r="273">
      <c r="O273" s="13">
        <v>1.0</v>
      </c>
      <c r="P273" s="13" t="s">
        <v>1048</v>
      </c>
      <c r="Q273" s="13">
        <v>67.0</v>
      </c>
      <c r="R273" s="29">
        <v>3618482.0</v>
      </c>
      <c r="X273" s="13">
        <v>1.0</v>
      </c>
      <c r="Y273" s="13" t="s">
        <v>1049</v>
      </c>
      <c r="Z273" s="13">
        <v>79.0</v>
      </c>
      <c r="AA273" s="29">
        <v>4730448.0</v>
      </c>
      <c r="AB273" s="17"/>
      <c r="AE273" s="68">
        <v>1.0</v>
      </c>
      <c r="AF273" s="67" t="s">
        <v>1050</v>
      </c>
      <c r="AG273" s="68">
        <v>69.0</v>
      </c>
      <c r="AH273" s="69">
        <v>4947688.0</v>
      </c>
      <c r="AI273" s="17"/>
    </row>
    <row r="274">
      <c r="O274" s="13">
        <v>1.0</v>
      </c>
      <c r="P274" s="13" t="s">
        <v>1051</v>
      </c>
      <c r="Q274" s="13">
        <v>57.0</v>
      </c>
      <c r="R274" s="29">
        <v>3041493.0</v>
      </c>
      <c r="X274" s="13">
        <v>1.0</v>
      </c>
      <c r="Y274" s="13" t="s">
        <v>1052</v>
      </c>
      <c r="Z274" s="13">
        <v>79.0</v>
      </c>
      <c r="AA274" s="29">
        <v>5447166.0</v>
      </c>
      <c r="AB274" s="17"/>
      <c r="AE274" s="68">
        <v>1.0</v>
      </c>
      <c r="AF274" s="67" t="s">
        <v>1053</v>
      </c>
      <c r="AG274" s="68">
        <v>75.0</v>
      </c>
      <c r="AH274" s="69">
        <v>5716860.0</v>
      </c>
      <c r="AI274" s="17"/>
    </row>
    <row r="275">
      <c r="O275" s="13">
        <v>1.0</v>
      </c>
      <c r="P275" s="13" t="s">
        <v>1054</v>
      </c>
      <c r="Q275" s="13">
        <v>52.0</v>
      </c>
      <c r="R275" s="29">
        <v>3024203.0</v>
      </c>
      <c r="X275" s="13">
        <v>1.0</v>
      </c>
      <c r="Y275" s="13" t="s">
        <v>1055</v>
      </c>
      <c r="Z275" s="13">
        <v>113.0</v>
      </c>
      <c r="AA275" s="29">
        <v>6898266.0</v>
      </c>
      <c r="AB275" s="17"/>
      <c r="AE275" s="68">
        <v>1.0</v>
      </c>
      <c r="AF275" s="67" t="s">
        <v>1056</v>
      </c>
      <c r="AG275" s="68">
        <v>69.0</v>
      </c>
      <c r="AH275" s="69">
        <v>4815655.0</v>
      </c>
      <c r="AI275" s="17"/>
    </row>
    <row r="276">
      <c r="O276" s="13">
        <v>1.0</v>
      </c>
      <c r="P276" s="13" t="s">
        <v>1057</v>
      </c>
      <c r="Q276" s="13">
        <v>52.0</v>
      </c>
      <c r="R276" s="29">
        <v>2790196.0</v>
      </c>
      <c r="X276" s="13">
        <v>1.0</v>
      </c>
      <c r="Y276" s="13" t="s">
        <v>1058</v>
      </c>
      <c r="Z276" s="13">
        <v>85.0</v>
      </c>
      <c r="AA276" s="29">
        <v>5388383.0</v>
      </c>
      <c r="AB276" s="17"/>
      <c r="AE276" s="89">
        <v>1.0</v>
      </c>
      <c r="AF276" s="67" t="s">
        <v>1059</v>
      </c>
      <c r="AG276" s="68">
        <v>74.0</v>
      </c>
      <c r="AH276" s="69">
        <v>5207635.0</v>
      </c>
      <c r="AI276" s="17"/>
    </row>
    <row r="277">
      <c r="O277" s="13">
        <v>1.0</v>
      </c>
      <c r="P277" s="13" t="s">
        <v>1060</v>
      </c>
      <c r="Q277" s="13">
        <v>59.0</v>
      </c>
      <c r="R277" s="29">
        <v>3162645.0</v>
      </c>
      <c r="X277" s="13">
        <v>1.0</v>
      </c>
      <c r="Y277" s="13" t="s">
        <v>1061</v>
      </c>
      <c r="Z277" s="13">
        <v>79.0</v>
      </c>
      <c r="AA277" s="29">
        <v>5617978.0</v>
      </c>
      <c r="AB277" s="17"/>
      <c r="AE277" s="13">
        <v>1.0</v>
      </c>
      <c r="AF277" s="13" t="s">
        <v>1062</v>
      </c>
      <c r="AG277" s="13">
        <v>73.0</v>
      </c>
      <c r="AH277" s="29">
        <v>5075585.0</v>
      </c>
      <c r="AI277" s="17"/>
    </row>
    <row r="278">
      <c r="O278" s="13">
        <v>1.0</v>
      </c>
      <c r="P278" s="13" t="s">
        <v>1063</v>
      </c>
      <c r="Q278" s="13">
        <v>62.0</v>
      </c>
      <c r="R278" s="29">
        <v>3180773.0</v>
      </c>
      <c r="X278" s="13">
        <v>1.0</v>
      </c>
      <c r="Y278" s="13" t="s">
        <v>1064</v>
      </c>
      <c r="Z278" s="13">
        <v>82.0</v>
      </c>
      <c r="AA278" s="29">
        <v>5308508.0</v>
      </c>
      <c r="AB278" s="17"/>
      <c r="AE278" s="13">
        <v>1.0</v>
      </c>
      <c r="AF278" s="88" t="s">
        <v>1065</v>
      </c>
      <c r="AG278" s="13">
        <v>69.0</v>
      </c>
      <c r="AH278" s="29">
        <v>4829555.0</v>
      </c>
      <c r="AI278" s="17"/>
    </row>
    <row r="279">
      <c r="O279" s="13">
        <v>1.0</v>
      </c>
      <c r="P279" s="13" t="s">
        <v>1066</v>
      </c>
      <c r="Q279" s="13">
        <v>67.0</v>
      </c>
      <c r="R279" s="29">
        <v>3466923.0</v>
      </c>
      <c r="X279" s="13">
        <v>1.0</v>
      </c>
      <c r="Y279" s="13" t="s">
        <v>1067</v>
      </c>
      <c r="Z279" s="13">
        <v>113.0</v>
      </c>
      <c r="AA279" s="29">
        <v>7020189.0</v>
      </c>
      <c r="AB279" s="17"/>
      <c r="AE279" s="13">
        <v>1.0</v>
      </c>
      <c r="AF279" s="13" t="s">
        <v>1068</v>
      </c>
      <c r="AG279" s="13">
        <v>69.0</v>
      </c>
      <c r="AH279" s="29">
        <v>4968535.0</v>
      </c>
      <c r="AI279" s="17"/>
    </row>
    <row r="280">
      <c r="O280" s="13">
        <v>1.0</v>
      </c>
      <c r="P280" s="13" t="s">
        <v>1069</v>
      </c>
      <c r="Q280" s="13">
        <v>53.0</v>
      </c>
      <c r="R280" s="29">
        <v>2933904.0</v>
      </c>
      <c r="X280" s="13">
        <v>1.0</v>
      </c>
      <c r="Y280" s="13" t="s">
        <v>1070</v>
      </c>
      <c r="Z280" s="13">
        <v>113.0</v>
      </c>
      <c r="AA280" s="29">
        <v>7142112.0</v>
      </c>
      <c r="AB280" s="17"/>
      <c r="AE280" s="13">
        <v>1.0</v>
      </c>
      <c r="AF280" s="13" t="s">
        <v>1071</v>
      </c>
      <c r="AG280" s="13">
        <v>75.0</v>
      </c>
      <c r="AH280" s="29">
        <v>5739576.0</v>
      </c>
      <c r="AI280" s="17"/>
    </row>
    <row r="281">
      <c r="O281" s="13">
        <v>1.0</v>
      </c>
      <c r="P281" s="13" t="s">
        <v>1072</v>
      </c>
      <c r="Q281" s="13">
        <v>60.0</v>
      </c>
      <c r="R281" s="29">
        <v>3277877.0</v>
      </c>
      <c r="X281" s="13">
        <v>1.0</v>
      </c>
      <c r="Y281" s="13" t="s">
        <v>1073</v>
      </c>
      <c r="Z281" s="13">
        <v>142.0</v>
      </c>
      <c r="AA281" s="29">
        <v>7830819.0</v>
      </c>
      <c r="AB281" s="17"/>
      <c r="AE281" s="13">
        <v>1.0</v>
      </c>
      <c r="AF281" s="13" t="s">
        <v>1074</v>
      </c>
      <c r="AG281" s="13">
        <v>69.0</v>
      </c>
      <c r="AH281" s="29">
        <v>4836442.0</v>
      </c>
      <c r="AI281" s="17"/>
    </row>
    <row r="282">
      <c r="O282" s="13">
        <v>1.0</v>
      </c>
      <c r="P282" s="13" t="s">
        <v>1075</v>
      </c>
      <c r="Q282" s="13">
        <v>56.0</v>
      </c>
      <c r="R282" s="29">
        <v>2873824.0</v>
      </c>
      <c r="X282" s="13">
        <v>1.0</v>
      </c>
      <c r="Y282" s="13" t="s">
        <v>1076</v>
      </c>
      <c r="Z282" s="13">
        <v>79.0</v>
      </c>
      <c r="AA282" s="29">
        <v>4869301.0</v>
      </c>
      <c r="AB282" s="17"/>
      <c r="AE282" s="13">
        <v>1.0</v>
      </c>
      <c r="AF282" s="13" t="s">
        <v>1077</v>
      </c>
      <c r="AG282" s="13">
        <v>74.0</v>
      </c>
      <c r="AH282" s="29">
        <v>5230114.0</v>
      </c>
      <c r="AI282" s="17"/>
    </row>
    <row r="283">
      <c r="O283" s="13">
        <v>1.0</v>
      </c>
      <c r="P283" s="13" t="s">
        <v>1078</v>
      </c>
      <c r="Q283" s="13">
        <v>62.0</v>
      </c>
      <c r="R283" s="29">
        <v>3232999.0</v>
      </c>
      <c r="X283" s="13">
        <v>2.0</v>
      </c>
      <c r="Y283" s="13" t="s">
        <v>1079</v>
      </c>
      <c r="Z283" s="13">
        <v>113.0</v>
      </c>
      <c r="AA283" s="29">
        <v>7025315.0</v>
      </c>
      <c r="AB283" s="27">
        <f>AA283*X283</f>
        <v>14050630</v>
      </c>
      <c r="AE283" s="13">
        <v>1.0</v>
      </c>
      <c r="AF283" s="13" t="s">
        <v>1080</v>
      </c>
      <c r="AG283" s="13">
        <v>73.0</v>
      </c>
      <c r="AH283" s="29">
        <v>5097494.0</v>
      </c>
      <c r="AI283" s="17"/>
    </row>
    <row r="284">
      <c r="O284" s="13">
        <v>1.0</v>
      </c>
      <c r="P284" s="13" t="s">
        <v>1081</v>
      </c>
      <c r="Q284" s="13">
        <v>58.0</v>
      </c>
      <c r="R284" s="29">
        <v>3022893.0</v>
      </c>
      <c r="X284" s="13">
        <v>1.0</v>
      </c>
      <c r="Y284" s="13" t="s">
        <v>1082</v>
      </c>
      <c r="Z284" s="13">
        <v>79.0</v>
      </c>
      <c r="AA284" s="29">
        <v>5036537.0</v>
      </c>
      <c r="AB284" s="17"/>
      <c r="AE284" s="13">
        <v>1.0</v>
      </c>
      <c r="AF284" s="13" t="s">
        <v>1083</v>
      </c>
      <c r="AG284" s="13">
        <v>69.0</v>
      </c>
      <c r="AH284" s="29">
        <v>4850402.0</v>
      </c>
      <c r="AI284" s="17"/>
    </row>
    <row r="285">
      <c r="O285" s="13">
        <v>1.0</v>
      </c>
      <c r="P285" s="13" t="s">
        <v>1084</v>
      </c>
      <c r="Q285" s="13">
        <v>67.0</v>
      </c>
      <c r="R285" s="29">
        <v>3485868.0</v>
      </c>
      <c r="X285" s="13">
        <v>1.0</v>
      </c>
      <c r="Y285" s="13" t="s">
        <v>1085</v>
      </c>
      <c r="Z285" s="13">
        <v>82.0</v>
      </c>
      <c r="AA285" s="29">
        <v>5714957.0</v>
      </c>
      <c r="AB285" s="17"/>
      <c r="AE285" s="13">
        <v>1.0</v>
      </c>
      <c r="AF285" s="13" t="s">
        <v>1086</v>
      </c>
      <c r="AG285" s="13">
        <v>69.0</v>
      </c>
      <c r="AH285" s="29">
        <v>4989382.0</v>
      </c>
      <c r="AI285" s="17"/>
    </row>
    <row r="286">
      <c r="O286" s="13">
        <v>1.0</v>
      </c>
      <c r="P286" s="13" t="s">
        <v>1087</v>
      </c>
      <c r="Q286" s="13">
        <v>57.0</v>
      </c>
      <c r="R286" s="29">
        <v>3009308.0</v>
      </c>
      <c r="X286" s="13">
        <v>1.0</v>
      </c>
      <c r="Y286" s="13" t="s">
        <v>1088</v>
      </c>
      <c r="Z286" s="13">
        <v>57.0</v>
      </c>
      <c r="AA286" s="29">
        <v>4230479.0</v>
      </c>
      <c r="AB286" s="17"/>
      <c r="AE286" s="13">
        <v>1.0</v>
      </c>
      <c r="AF286" s="13" t="s">
        <v>1089</v>
      </c>
      <c r="AG286" s="13">
        <v>75.0</v>
      </c>
      <c r="AH286" s="29">
        <v>5436696.0</v>
      </c>
      <c r="AI286" s="17"/>
    </row>
    <row r="287">
      <c r="O287" s="13">
        <v>1.0</v>
      </c>
      <c r="P287" s="13" t="s">
        <v>1090</v>
      </c>
      <c r="Q287" s="13">
        <v>53.0</v>
      </c>
      <c r="R287" s="29">
        <v>2948949.0</v>
      </c>
      <c r="X287" s="13">
        <v>1.0</v>
      </c>
      <c r="Y287" s="13" t="s">
        <v>1091</v>
      </c>
      <c r="Z287" s="13">
        <v>62.0</v>
      </c>
      <c r="AA287" s="29">
        <v>4346074.0</v>
      </c>
      <c r="AB287" s="17"/>
      <c r="AE287" s="68">
        <v>1.0</v>
      </c>
      <c r="AF287" s="67" t="s">
        <v>1092</v>
      </c>
      <c r="AG287" s="68">
        <v>69.0</v>
      </c>
      <c r="AH287" s="29">
        <v>4857229.0</v>
      </c>
      <c r="AI287" s="17"/>
    </row>
    <row r="288">
      <c r="O288" s="13">
        <v>1.0</v>
      </c>
      <c r="P288" s="13" t="s">
        <v>1093</v>
      </c>
      <c r="Q288" s="13">
        <v>56.0</v>
      </c>
      <c r="R288" s="29">
        <v>2889615.0</v>
      </c>
      <c r="X288" s="13">
        <v>1.0</v>
      </c>
      <c r="Y288" s="13" t="s">
        <v>1094</v>
      </c>
      <c r="Z288" s="13">
        <v>79.0</v>
      </c>
      <c r="AA288" s="29">
        <v>5117433.0</v>
      </c>
      <c r="AB288" s="17"/>
      <c r="AE288" s="13">
        <v>1.0</v>
      </c>
      <c r="AF288" s="13" t="s">
        <v>1095</v>
      </c>
      <c r="AG288" s="13">
        <v>69.0</v>
      </c>
      <c r="AH288" s="29">
        <v>4871249.0</v>
      </c>
      <c r="AI288" s="17"/>
    </row>
    <row r="289">
      <c r="O289" s="13">
        <v>1.0</v>
      </c>
      <c r="P289" s="13" t="s">
        <v>1096</v>
      </c>
      <c r="Q289" s="13">
        <v>58.0</v>
      </c>
      <c r="R289" s="29">
        <v>3039145.0</v>
      </c>
      <c r="X289" s="13">
        <v>1.0</v>
      </c>
      <c r="Y289" s="13" t="s">
        <v>1097</v>
      </c>
      <c r="Z289" s="13">
        <v>62.0</v>
      </c>
      <c r="AA289" s="29">
        <v>4346074.0</v>
      </c>
      <c r="AB289" s="17"/>
      <c r="AE289" s="13">
        <v>1.0</v>
      </c>
      <c r="AF289" s="13" t="s">
        <v>1098</v>
      </c>
      <c r="AG289" s="13">
        <v>69.0</v>
      </c>
      <c r="AH289" s="29">
        <v>5010229.0</v>
      </c>
      <c r="AI289" s="17"/>
    </row>
    <row r="290">
      <c r="O290" s="13">
        <v>1.0</v>
      </c>
      <c r="P290" s="13" t="s">
        <v>1099</v>
      </c>
      <c r="Q290" s="13">
        <v>67.0</v>
      </c>
      <c r="R290" s="29">
        <v>3504813.0</v>
      </c>
      <c r="X290" s="13">
        <v>1.0</v>
      </c>
      <c r="Y290" s="13" t="s">
        <v>1100</v>
      </c>
      <c r="Z290" s="13">
        <v>57.0</v>
      </c>
      <c r="AA290" s="29">
        <v>4230479.0</v>
      </c>
      <c r="AB290" s="17"/>
      <c r="AE290" s="13">
        <v>1.0</v>
      </c>
      <c r="AF290" s="13" t="s">
        <v>1101</v>
      </c>
      <c r="AG290" s="13">
        <v>75.0</v>
      </c>
      <c r="AH290" s="29">
        <v>5459412.0</v>
      </c>
      <c r="AI290" s="17"/>
    </row>
    <row r="291">
      <c r="O291" s="13">
        <v>1.0</v>
      </c>
      <c r="P291" s="13" t="s">
        <v>1102</v>
      </c>
      <c r="Q291" s="13">
        <v>57.0</v>
      </c>
      <c r="R291" s="29">
        <v>3025401.0</v>
      </c>
      <c r="X291" s="13">
        <v>2.0</v>
      </c>
      <c r="Y291" s="13" t="s">
        <v>1103</v>
      </c>
      <c r="Z291" s="13">
        <v>113.0</v>
      </c>
      <c r="AA291" s="29">
        <v>7140799.0</v>
      </c>
      <c r="AB291" s="27">
        <f>AA291*X291</f>
        <v>14281598</v>
      </c>
      <c r="AE291" s="9" t="s">
        <v>1104</v>
      </c>
      <c r="AH291" s="40">
        <f>SUM(AH245:AH252)+AI253+SUM(AH254:AH259)+AI260+SUM(AH261:AH265)+AI266+SUM(AH267:AH269)+AI270+SUM(AH270:AH290)</f>
        <v>244345850</v>
      </c>
    </row>
    <row r="292">
      <c r="O292" s="13">
        <v>1.0</v>
      </c>
      <c r="P292" s="13" t="s">
        <v>1105</v>
      </c>
      <c r="Q292" s="13">
        <v>53.0</v>
      </c>
      <c r="R292" s="29">
        <v>2963995.0</v>
      </c>
      <c r="X292" s="13">
        <v>1.0</v>
      </c>
      <c r="Y292" s="13" t="s">
        <v>1106</v>
      </c>
      <c r="Z292" s="13">
        <v>82.0</v>
      </c>
      <c r="AA292" s="29">
        <v>5882461.0</v>
      </c>
      <c r="AB292" s="17"/>
      <c r="AE292" s="13" t="s">
        <v>45</v>
      </c>
      <c r="AF292" s="13" t="s">
        <v>68</v>
      </c>
      <c r="AG292" s="13" t="s">
        <v>66</v>
      </c>
      <c r="AH292" s="13" t="s">
        <v>69</v>
      </c>
      <c r="AI292" s="17"/>
      <c r="AJ292" s="17"/>
    </row>
    <row r="293">
      <c r="O293" s="13">
        <v>1.0</v>
      </c>
      <c r="P293" s="13" t="s">
        <v>1107</v>
      </c>
      <c r="Q293" s="13">
        <v>56.0</v>
      </c>
      <c r="R293" s="29">
        <v>2905405.0</v>
      </c>
      <c r="X293" s="13">
        <v>1.0</v>
      </c>
      <c r="Y293" s="13" t="s">
        <v>1108</v>
      </c>
      <c r="Z293" s="13">
        <v>85.0</v>
      </c>
      <c r="AA293" s="29">
        <v>6159045.0</v>
      </c>
      <c r="AB293" s="17"/>
      <c r="AE293" s="13">
        <v>1.0</v>
      </c>
      <c r="AF293" s="13" t="s">
        <v>1109</v>
      </c>
      <c r="AG293" s="13">
        <v>66.0</v>
      </c>
      <c r="AH293" s="29">
        <v>4439756.66</v>
      </c>
      <c r="AI293" s="13" t="s">
        <v>1110</v>
      </c>
      <c r="AJ293" s="17"/>
    </row>
    <row r="294">
      <c r="O294" s="13">
        <v>1.0</v>
      </c>
      <c r="P294" s="13" t="s">
        <v>1111</v>
      </c>
      <c r="Q294" s="13">
        <v>67.0</v>
      </c>
      <c r="R294" s="29">
        <v>3523758.0</v>
      </c>
      <c r="X294" s="13">
        <v>1.0</v>
      </c>
      <c r="Y294" s="13" t="s">
        <v>1112</v>
      </c>
      <c r="Z294" s="13">
        <v>113.0</v>
      </c>
      <c r="AA294" s="29">
        <v>7256284.0</v>
      </c>
      <c r="AB294" s="17"/>
      <c r="AE294" s="13">
        <v>1.0</v>
      </c>
      <c r="AF294" s="13" t="s">
        <v>1113</v>
      </c>
      <c r="AG294" s="13">
        <v>199.0</v>
      </c>
      <c r="AH294" s="29">
        <v>1.111549822E7</v>
      </c>
      <c r="AI294" s="13" t="s">
        <v>1114</v>
      </c>
      <c r="AJ294" s="17"/>
    </row>
    <row r="295">
      <c r="O295" s="13">
        <v>1.0</v>
      </c>
      <c r="P295" s="13" t="s">
        <v>1115</v>
      </c>
      <c r="Q295" s="13">
        <v>57.0</v>
      </c>
      <c r="R295" s="29">
        <v>3041493.0</v>
      </c>
      <c r="X295" s="13">
        <v>1.0</v>
      </c>
      <c r="Y295" s="13" t="s">
        <v>1116</v>
      </c>
      <c r="Z295" s="13">
        <v>113.0</v>
      </c>
      <c r="AA295" s="29">
        <v>7256284.0</v>
      </c>
      <c r="AB295" s="17"/>
      <c r="AE295" s="13">
        <v>1.0</v>
      </c>
      <c r="AF295" s="13" t="s">
        <v>1117</v>
      </c>
      <c r="AG295" s="13">
        <v>66.0</v>
      </c>
      <c r="AH295" s="29">
        <v>4461314.46</v>
      </c>
      <c r="AI295" s="13" t="s">
        <v>1118</v>
      </c>
      <c r="AJ295" s="17"/>
    </row>
    <row r="296">
      <c r="O296" s="13">
        <v>1.0</v>
      </c>
      <c r="P296" s="13" t="s">
        <v>1119</v>
      </c>
      <c r="Q296" s="13">
        <v>53.0</v>
      </c>
      <c r="R296" s="29">
        <v>2979040.0</v>
      </c>
      <c r="X296" s="13">
        <v>1.0</v>
      </c>
      <c r="Y296" s="13" t="s">
        <v>1120</v>
      </c>
      <c r="Z296" s="13">
        <v>82.0</v>
      </c>
      <c r="AA296" s="29">
        <v>5966214.0</v>
      </c>
      <c r="AB296" s="17"/>
      <c r="AE296" s="13">
        <v>1.0</v>
      </c>
      <c r="AF296" s="13" t="s">
        <v>1121</v>
      </c>
      <c r="AG296" s="13">
        <v>123.0</v>
      </c>
      <c r="AH296" s="29">
        <v>7452882.36</v>
      </c>
      <c r="AI296" s="13" t="s">
        <v>1122</v>
      </c>
      <c r="AJ296" s="17"/>
    </row>
    <row r="297">
      <c r="O297" s="13">
        <v>1.0</v>
      </c>
      <c r="P297" s="13" t="s">
        <v>1123</v>
      </c>
      <c r="Q297" s="13">
        <v>56.0</v>
      </c>
      <c r="R297" s="29">
        <v>2921195.0</v>
      </c>
      <c r="AA297" s="40">
        <f>SUM(AA273:AA282)+AB283+SUM(AA284:AA290)+AB291+SUM(AA292:AA296)</f>
        <v>154127719</v>
      </c>
      <c r="AE297" s="13">
        <v>2.0</v>
      </c>
      <c r="AF297" s="13" t="s">
        <v>1124</v>
      </c>
      <c r="AG297" s="13">
        <v>3.0</v>
      </c>
      <c r="AH297" s="29">
        <v>68800.0</v>
      </c>
      <c r="AI297" s="17"/>
      <c r="AJ297" s="27">
        <f t="shared" ref="AJ297:AJ298" si="45">AH297*AE297</f>
        <v>137600</v>
      </c>
    </row>
    <row r="298">
      <c r="R298" s="40">
        <f>SUM(R261:R297)</f>
        <v>115311870</v>
      </c>
      <c r="X298" s="9" t="s">
        <v>1125</v>
      </c>
      <c r="AE298" s="13">
        <v>2.0</v>
      </c>
      <c r="AF298" s="13" t="s">
        <v>1126</v>
      </c>
      <c r="AG298" s="13">
        <v>2.0</v>
      </c>
      <c r="AH298" s="29">
        <v>59600.0</v>
      </c>
      <c r="AI298" s="17"/>
      <c r="AJ298" s="27">
        <f t="shared" si="45"/>
        <v>119200</v>
      </c>
    </row>
    <row r="299">
      <c r="O299" s="9" t="s">
        <v>1127</v>
      </c>
      <c r="X299" s="13" t="s">
        <v>45</v>
      </c>
      <c r="Y299" s="13" t="s">
        <v>68</v>
      </c>
      <c r="Z299" s="13" t="s">
        <v>66</v>
      </c>
      <c r="AA299" s="13" t="s">
        <v>69</v>
      </c>
      <c r="AE299" s="68">
        <v>1.0</v>
      </c>
      <c r="AF299" s="67" t="s">
        <v>1128</v>
      </c>
      <c r="AG299" s="68">
        <v>3.0</v>
      </c>
      <c r="AH299" s="69">
        <v>60800.0</v>
      </c>
      <c r="AI299" s="17"/>
      <c r="AJ299" s="17"/>
    </row>
    <row r="300">
      <c r="O300" s="13" t="s">
        <v>45</v>
      </c>
      <c r="P300" s="13" t="s">
        <v>68</v>
      </c>
      <c r="Q300" s="13" t="s">
        <v>66</v>
      </c>
      <c r="R300" s="13" t="s">
        <v>69</v>
      </c>
      <c r="S300" s="17"/>
      <c r="X300" s="13">
        <v>1.0</v>
      </c>
      <c r="Y300" s="13" t="s">
        <v>1129</v>
      </c>
      <c r="Z300" s="13">
        <v>50.0</v>
      </c>
      <c r="AA300" s="29">
        <v>3739397.0</v>
      </c>
      <c r="AE300" s="89">
        <v>1.0</v>
      </c>
      <c r="AF300" s="67" t="s">
        <v>1130</v>
      </c>
      <c r="AG300" s="89">
        <v>3.0</v>
      </c>
      <c r="AH300" s="69">
        <v>69600.0</v>
      </c>
      <c r="AI300" s="17"/>
      <c r="AJ300" s="17"/>
    </row>
    <row r="301">
      <c r="O301" s="13">
        <v>1.0</v>
      </c>
      <c r="P301" s="13" t="s">
        <v>1131</v>
      </c>
      <c r="Q301" s="13">
        <v>148.0</v>
      </c>
      <c r="R301" s="29">
        <v>1.1547346E7</v>
      </c>
      <c r="S301" s="17"/>
      <c r="X301" s="13">
        <v>1.0</v>
      </c>
      <c r="Y301" s="13" t="s">
        <v>1132</v>
      </c>
      <c r="Z301" s="13">
        <v>74.0</v>
      </c>
      <c r="AA301" s="29">
        <v>5382177.0</v>
      </c>
      <c r="AH301" s="40">
        <f>SUM(AH293:AH296)+SUM(AJ297:AJ298)+SUM(AH299:AH300)</f>
        <v>27856651.7</v>
      </c>
    </row>
    <row r="302">
      <c r="O302" s="13">
        <v>1.0</v>
      </c>
      <c r="P302" s="13" t="s">
        <v>1133</v>
      </c>
      <c r="Q302" s="13">
        <v>146.0</v>
      </c>
      <c r="R302" s="29">
        <v>1.11207E7</v>
      </c>
      <c r="S302" s="17"/>
      <c r="X302" s="13">
        <v>1.0</v>
      </c>
      <c r="Y302" s="13" t="s">
        <v>1134</v>
      </c>
      <c r="Z302" s="13">
        <v>79.0</v>
      </c>
      <c r="AA302" s="29">
        <v>4750934.0</v>
      </c>
      <c r="AE302" s="9" t="s">
        <v>1135</v>
      </c>
    </row>
    <row r="303">
      <c r="O303" s="13">
        <v>1.0</v>
      </c>
      <c r="P303" s="13" t="s">
        <v>1136</v>
      </c>
      <c r="Q303" s="13">
        <v>147.0</v>
      </c>
      <c r="R303" s="29">
        <v>1.1744933E7</v>
      </c>
      <c r="S303" s="17"/>
      <c r="X303" s="13">
        <v>1.0</v>
      </c>
      <c r="Y303" s="13" t="s">
        <v>1137</v>
      </c>
      <c r="Z303" s="13">
        <v>77.0</v>
      </c>
      <c r="AA303" s="29">
        <v>4626449.0</v>
      </c>
      <c r="AE303" s="13" t="s">
        <v>45</v>
      </c>
      <c r="AF303" s="13" t="s">
        <v>68</v>
      </c>
      <c r="AG303" s="13" t="s">
        <v>66</v>
      </c>
      <c r="AH303" s="13" t="s">
        <v>69</v>
      </c>
      <c r="AI303" s="17"/>
    </row>
    <row r="304">
      <c r="O304" s="13">
        <v>1.0</v>
      </c>
      <c r="P304" s="13" t="s">
        <v>1138</v>
      </c>
      <c r="Q304" s="13">
        <v>145.0</v>
      </c>
      <c r="R304" s="29">
        <v>1.1633704E7</v>
      </c>
      <c r="S304" s="17"/>
      <c r="X304" s="13">
        <v>1.0</v>
      </c>
      <c r="Y304" s="13" t="s">
        <v>1139</v>
      </c>
      <c r="Z304" s="13">
        <v>54.0</v>
      </c>
      <c r="AA304" s="29">
        <v>3539558.0</v>
      </c>
      <c r="AE304" s="13">
        <v>1.0</v>
      </c>
      <c r="AF304" s="13" t="s">
        <v>1140</v>
      </c>
      <c r="AG304" s="13">
        <v>98.0</v>
      </c>
      <c r="AH304" s="29">
        <v>6508540.0</v>
      </c>
      <c r="AI304" s="17"/>
    </row>
    <row r="305">
      <c r="O305" s="13">
        <v>1.0</v>
      </c>
      <c r="P305" s="13" t="s">
        <v>1141</v>
      </c>
      <c r="Q305" s="13">
        <v>153.0</v>
      </c>
      <c r="R305" s="29">
        <v>1.3122942E7</v>
      </c>
      <c r="S305" s="17"/>
      <c r="X305" s="13">
        <v>1.0</v>
      </c>
      <c r="Y305" s="13" t="s">
        <v>1142</v>
      </c>
      <c r="Z305" s="13">
        <v>50.0</v>
      </c>
      <c r="AA305" s="29">
        <v>3578969.0</v>
      </c>
      <c r="AE305" s="13">
        <v>2.0</v>
      </c>
      <c r="AF305" s="13" t="s">
        <v>1143</v>
      </c>
      <c r="AG305" s="13">
        <v>98.0</v>
      </c>
      <c r="AH305" s="29">
        <v>6506435.0</v>
      </c>
      <c r="AI305" s="27">
        <f>AH305*AE305</f>
        <v>13012870</v>
      </c>
    </row>
    <row r="306">
      <c r="O306" s="13">
        <v>1.0</v>
      </c>
      <c r="P306" s="13" t="s">
        <v>1144</v>
      </c>
      <c r="Q306" s="13">
        <v>145.0</v>
      </c>
      <c r="R306" s="29">
        <v>1.1342861E7</v>
      </c>
      <c r="S306" s="17"/>
      <c r="X306" s="13">
        <v>1.0</v>
      </c>
      <c r="Y306" s="13" t="s">
        <v>1145</v>
      </c>
      <c r="Z306" s="13">
        <v>73.0</v>
      </c>
      <c r="AA306" s="29">
        <v>5289530.0</v>
      </c>
      <c r="AE306" s="13">
        <v>1.0</v>
      </c>
      <c r="AF306" s="13" t="s">
        <v>1146</v>
      </c>
      <c r="AG306" s="13">
        <v>98.0</v>
      </c>
      <c r="AH306" s="29">
        <v>6509946.0</v>
      </c>
      <c r="AI306" s="17"/>
    </row>
    <row r="307">
      <c r="O307" s="13">
        <v>1.0</v>
      </c>
      <c r="P307" s="13" t="s">
        <v>1147</v>
      </c>
      <c r="Q307" s="13">
        <v>148.0</v>
      </c>
      <c r="R307" s="29">
        <v>1.1473325E7</v>
      </c>
      <c r="S307" s="17"/>
      <c r="X307" s="13">
        <v>1.0</v>
      </c>
      <c r="Y307" s="13" t="s">
        <v>1148</v>
      </c>
      <c r="Z307" s="13">
        <v>50.0</v>
      </c>
      <c r="AA307" s="29">
        <v>3776791.0</v>
      </c>
      <c r="AE307" s="13">
        <v>1.0</v>
      </c>
      <c r="AF307" s="13" t="s">
        <v>1149</v>
      </c>
      <c r="AG307" s="13">
        <v>99.0</v>
      </c>
      <c r="AH307" s="29">
        <v>6566878.0</v>
      </c>
      <c r="AI307" s="17"/>
    </row>
    <row r="308">
      <c r="O308" s="13">
        <v>1.0</v>
      </c>
      <c r="P308" s="13" t="s">
        <v>1150</v>
      </c>
      <c r="Q308" s="13">
        <v>152.0</v>
      </c>
      <c r="R308" s="29">
        <v>1.2083913E7</v>
      </c>
      <c r="S308" s="17"/>
      <c r="X308" s="13">
        <v>1.0</v>
      </c>
      <c r="Y308" s="13" t="s">
        <v>1151</v>
      </c>
      <c r="Z308" s="13">
        <v>74.0</v>
      </c>
      <c r="AA308" s="29">
        <v>5435999.0</v>
      </c>
      <c r="AE308" s="13">
        <v>1.0</v>
      </c>
      <c r="AF308" s="13" t="s">
        <v>1152</v>
      </c>
      <c r="AG308" s="13">
        <v>109.0</v>
      </c>
      <c r="AH308" s="29">
        <v>7432290.0</v>
      </c>
      <c r="AI308" s="17"/>
    </row>
    <row r="309">
      <c r="O309" s="13">
        <v>1.0</v>
      </c>
      <c r="P309" s="13" t="s">
        <v>1153</v>
      </c>
      <c r="Q309" s="13">
        <v>147.0</v>
      </c>
      <c r="R309" s="29">
        <v>1.1966535E7</v>
      </c>
      <c r="S309" s="17"/>
      <c r="X309" s="13">
        <v>1.0</v>
      </c>
      <c r="Y309" s="13" t="s">
        <v>1154</v>
      </c>
      <c r="Z309" s="13">
        <v>61.0</v>
      </c>
      <c r="AA309" s="29">
        <v>4366248.0</v>
      </c>
      <c r="AE309" s="13">
        <v>1.0</v>
      </c>
      <c r="AF309" s="13" t="s">
        <v>1155</v>
      </c>
      <c r="AG309" s="13">
        <v>69.0</v>
      </c>
      <c r="AH309" s="29">
        <v>4819265.0</v>
      </c>
      <c r="AI309" s="17"/>
    </row>
    <row r="310">
      <c r="O310" s="13">
        <v>2.0</v>
      </c>
      <c r="P310" s="13" t="s">
        <v>1156</v>
      </c>
      <c r="Q310" s="13">
        <v>145.0</v>
      </c>
      <c r="R310" s="29">
        <v>1.1851836E7</v>
      </c>
      <c r="S310" s="27">
        <f t="shared" ref="S310:S311" si="46">R310*O310</f>
        <v>23703672</v>
      </c>
      <c r="X310" s="13">
        <v>1.0</v>
      </c>
      <c r="Y310" s="13" t="s">
        <v>1157</v>
      </c>
      <c r="Z310" s="13">
        <v>59.0</v>
      </c>
      <c r="AA310" s="29">
        <v>4251948.0</v>
      </c>
      <c r="AE310" s="13">
        <v>1.0</v>
      </c>
      <c r="AF310" s="13" t="s">
        <v>1158</v>
      </c>
      <c r="AG310" s="13">
        <v>110.0</v>
      </c>
      <c r="AH310" s="29">
        <v>7459922.0</v>
      </c>
      <c r="AI310" s="17"/>
    </row>
    <row r="311">
      <c r="O311" s="13">
        <v>2.0</v>
      </c>
      <c r="P311" s="13" t="s">
        <v>1159</v>
      </c>
      <c r="Q311" s="13">
        <v>153.0</v>
      </c>
      <c r="R311" s="29">
        <v>1.3813623E7</v>
      </c>
      <c r="S311" s="27">
        <f t="shared" si="46"/>
        <v>27627246</v>
      </c>
      <c r="X311" s="13">
        <v>1.0</v>
      </c>
      <c r="Y311" s="13" t="s">
        <v>1160</v>
      </c>
      <c r="Z311" s="13">
        <v>42.0</v>
      </c>
      <c r="AA311" s="29">
        <v>3267089.0</v>
      </c>
      <c r="AE311" s="13">
        <v>1.0</v>
      </c>
      <c r="AF311" s="13" t="s">
        <v>1161</v>
      </c>
      <c r="AG311" s="13">
        <v>69.0</v>
      </c>
      <c r="AH311" s="29">
        <v>4830522.0</v>
      </c>
      <c r="AI311" s="17"/>
    </row>
    <row r="312">
      <c r="O312" s="68">
        <v>1.0</v>
      </c>
      <c r="P312" s="67" t="s">
        <v>1162</v>
      </c>
      <c r="Q312" s="68">
        <v>145.0</v>
      </c>
      <c r="R312" s="69">
        <v>1.1560993E7</v>
      </c>
      <c r="S312" s="17"/>
      <c r="X312" s="13">
        <v>1.0</v>
      </c>
      <c r="Y312" s="13" t="s">
        <v>1163</v>
      </c>
      <c r="Z312" s="13">
        <v>73.0</v>
      </c>
      <c r="AA312" s="29">
        <v>5342426.0</v>
      </c>
      <c r="AE312" s="13">
        <v>1.0</v>
      </c>
      <c r="AF312" s="13" t="s">
        <v>1164</v>
      </c>
      <c r="AG312" s="13">
        <v>111.0</v>
      </c>
      <c r="AH312" s="29">
        <v>7524611.0</v>
      </c>
      <c r="AI312" s="17"/>
    </row>
    <row r="313">
      <c r="O313" s="66">
        <v>1.0</v>
      </c>
      <c r="P313" s="65" t="s">
        <v>1165</v>
      </c>
      <c r="Q313" s="66">
        <v>147.0</v>
      </c>
      <c r="R313" s="29">
        <v>1.1671065E7</v>
      </c>
      <c r="S313" s="17"/>
      <c r="X313" s="13">
        <v>1.0</v>
      </c>
      <c r="Y313" s="13" t="s">
        <v>1166</v>
      </c>
      <c r="Z313" s="13">
        <v>50.0</v>
      </c>
      <c r="AA313" s="29">
        <v>3814559.0</v>
      </c>
      <c r="AE313" s="13">
        <v>1.0</v>
      </c>
      <c r="AF313" s="13" t="s">
        <v>1167</v>
      </c>
      <c r="AG313" s="13">
        <v>109.0</v>
      </c>
      <c r="AH313" s="29">
        <v>7481289.0</v>
      </c>
      <c r="AI313" s="17"/>
    </row>
    <row r="314">
      <c r="O314" s="68">
        <v>1.0</v>
      </c>
      <c r="P314" s="67" t="s">
        <v>1168</v>
      </c>
      <c r="Q314" s="68">
        <v>151.0</v>
      </c>
      <c r="R314" s="69">
        <v>1.2318798E7</v>
      </c>
      <c r="S314" s="17"/>
      <c r="X314" s="13">
        <v>1.0</v>
      </c>
      <c r="Y314" s="13" t="s">
        <v>1169</v>
      </c>
      <c r="Z314" s="13">
        <v>74.0</v>
      </c>
      <c r="AA314" s="29">
        <v>5490359.0</v>
      </c>
      <c r="AE314" s="13">
        <v>1.0</v>
      </c>
      <c r="AF314" s="13" t="s">
        <v>1170</v>
      </c>
      <c r="AG314" s="13">
        <v>69.0</v>
      </c>
      <c r="AH314" s="29">
        <v>4854832.0</v>
      </c>
      <c r="AI314" s="17"/>
    </row>
    <row r="315">
      <c r="O315" s="13">
        <v>1.0</v>
      </c>
      <c r="P315" s="13" t="s">
        <v>1171</v>
      </c>
      <c r="Q315" s="13">
        <v>147.0</v>
      </c>
      <c r="R315" s="29">
        <v>1.2262005E7</v>
      </c>
      <c r="S315" s="17"/>
      <c r="X315" s="13">
        <v>1.0</v>
      </c>
      <c r="Y315" s="13" t="s">
        <v>1172</v>
      </c>
      <c r="Z315" s="13">
        <v>61.0</v>
      </c>
      <c r="AA315" s="29">
        <v>4409910.0</v>
      </c>
      <c r="AE315" s="13">
        <v>1.0</v>
      </c>
      <c r="AF315" s="13" t="s">
        <v>1173</v>
      </c>
      <c r="AG315" s="13">
        <v>110.0</v>
      </c>
      <c r="AH315" s="29">
        <v>7516223.0</v>
      </c>
      <c r="AI315" s="17"/>
    </row>
    <row r="316">
      <c r="O316" s="13">
        <v>1.0</v>
      </c>
      <c r="P316" s="13" t="s">
        <v>1174</v>
      </c>
      <c r="Q316" s="13">
        <v>145.0</v>
      </c>
      <c r="R316" s="29">
        <v>1.2142679E7</v>
      </c>
      <c r="S316" s="17"/>
      <c r="X316" s="13">
        <v>1.0</v>
      </c>
      <c r="Y316" s="13" t="s">
        <v>1175</v>
      </c>
      <c r="Z316" s="13">
        <v>34.0</v>
      </c>
      <c r="AA316" s="29">
        <v>2745633.0</v>
      </c>
      <c r="AE316" s="13">
        <v>1.0</v>
      </c>
      <c r="AF316" s="13" t="s">
        <v>1176</v>
      </c>
      <c r="AG316" s="13">
        <v>111.0</v>
      </c>
      <c r="AH316" s="29">
        <v>7581401.0</v>
      </c>
      <c r="AI316" s="17"/>
    </row>
    <row r="317">
      <c r="O317" s="13">
        <v>2.0</v>
      </c>
      <c r="P317" s="13" t="s">
        <v>1177</v>
      </c>
      <c r="Q317" s="13">
        <v>153.0</v>
      </c>
      <c r="R317" s="29">
        <v>1.4427562E7</v>
      </c>
      <c r="S317" s="27">
        <f>R317*O317</f>
        <v>28855124</v>
      </c>
      <c r="X317" s="13">
        <v>1.0</v>
      </c>
      <c r="Y317" s="13" t="s">
        <v>1178</v>
      </c>
      <c r="Z317" s="13">
        <v>59.0</v>
      </c>
      <c r="AA317" s="29">
        <v>4294468.0</v>
      </c>
      <c r="AE317" s="13">
        <v>1.0</v>
      </c>
      <c r="AF317" s="13" t="s">
        <v>1179</v>
      </c>
      <c r="AG317" s="13">
        <v>63.0</v>
      </c>
      <c r="AH317" s="29">
        <v>4388585.0</v>
      </c>
      <c r="AI317" s="17"/>
    </row>
    <row r="318">
      <c r="O318" s="68">
        <v>1.0</v>
      </c>
      <c r="P318" s="67" t="s">
        <v>1180</v>
      </c>
      <c r="Q318" s="68">
        <v>147.0</v>
      </c>
      <c r="R318" s="69">
        <v>1.1892668E7</v>
      </c>
      <c r="S318" s="17"/>
      <c r="X318" s="13">
        <v>1.0</v>
      </c>
      <c r="Y318" s="13" t="s">
        <v>1181</v>
      </c>
      <c r="Z318" s="13">
        <v>42.0</v>
      </c>
      <c r="AA318" s="29">
        <v>3299760.0</v>
      </c>
      <c r="AE318" s="13">
        <v>1.0</v>
      </c>
      <c r="AF318" s="13" t="s">
        <v>1182</v>
      </c>
      <c r="AG318" s="13">
        <v>171.0</v>
      </c>
      <c r="AH318" s="29">
        <v>1.0070576E7</v>
      </c>
      <c r="AI318" s="17"/>
    </row>
    <row r="319">
      <c r="O319" s="68">
        <v>1.0</v>
      </c>
      <c r="P319" s="67" t="s">
        <v>1183</v>
      </c>
      <c r="Q319" s="68">
        <v>151.0</v>
      </c>
      <c r="R319" s="69">
        <v>1.26211E7</v>
      </c>
      <c r="S319" s="17"/>
      <c r="X319" s="13">
        <v>1.0</v>
      </c>
      <c r="Y319" s="13" t="s">
        <v>1184</v>
      </c>
      <c r="Z319" s="13">
        <v>55.0</v>
      </c>
      <c r="AA319" s="29">
        <v>4067550.0</v>
      </c>
      <c r="AE319" s="13">
        <v>1.0</v>
      </c>
      <c r="AF319" s="13" t="s">
        <v>1185</v>
      </c>
      <c r="AG319" s="13">
        <v>131.0</v>
      </c>
      <c r="AH319" s="29">
        <v>7480150.0</v>
      </c>
      <c r="AI319" s="17"/>
    </row>
    <row r="320">
      <c r="O320" s="68">
        <v>1.0</v>
      </c>
      <c r="P320" s="67" t="s">
        <v>1186</v>
      </c>
      <c r="Q320" s="68">
        <v>151.0</v>
      </c>
      <c r="R320" s="69">
        <v>1.2696676E7</v>
      </c>
      <c r="S320" s="17"/>
      <c r="X320" s="13">
        <v>1.0</v>
      </c>
      <c r="Y320" s="13" t="s">
        <v>1187</v>
      </c>
      <c r="Z320" s="13">
        <v>73.0</v>
      </c>
      <c r="AA320" s="29">
        <v>5395850.0</v>
      </c>
      <c r="AE320" s="13">
        <v>1.0</v>
      </c>
      <c r="AF320" s="13" t="s">
        <v>1188</v>
      </c>
      <c r="AG320" s="13">
        <v>172.0</v>
      </c>
      <c r="AH320" s="29">
        <v>1.0105731E7</v>
      </c>
      <c r="AI320" s="17"/>
    </row>
    <row r="321">
      <c r="O321" s="68">
        <v>1.0</v>
      </c>
      <c r="P321" s="67" t="s">
        <v>1189</v>
      </c>
      <c r="Q321" s="68">
        <v>215.0</v>
      </c>
      <c r="R321" s="69">
        <v>1.5858275E7</v>
      </c>
      <c r="S321" s="17"/>
      <c r="X321" s="13">
        <v>1.0</v>
      </c>
      <c r="Y321" s="13" t="s">
        <v>1190</v>
      </c>
      <c r="Z321" s="13">
        <v>50.0</v>
      </c>
      <c r="AA321" s="29">
        <v>3852705.0</v>
      </c>
      <c r="AE321" s="13">
        <v>1.0</v>
      </c>
      <c r="AF321" s="13" t="s">
        <v>1191</v>
      </c>
      <c r="AG321" s="13">
        <v>131.0</v>
      </c>
      <c r="AH321" s="29">
        <v>7483270.0</v>
      </c>
      <c r="AI321" s="17"/>
    </row>
    <row r="322">
      <c r="O322" s="89">
        <v>1.0</v>
      </c>
      <c r="P322" s="67" t="s">
        <v>1192</v>
      </c>
      <c r="Q322" s="68">
        <v>240.0</v>
      </c>
      <c r="R322" s="69">
        <v>1.5586602E7</v>
      </c>
      <c r="S322" s="17"/>
      <c r="X322" s="13">
        <v>1.0</v>
      </c>
      <c r="Y322" s="13" t="s">
        <v>1193</v>
      </c>
      <c r="Z322" s="13">
        <v>74.0</v>
      </c>
      <c r="AA322" s="29">
        <v>5545262.0</v>
      </c>
      <c r="AE322" s="13">
        <v>1.0</v>
      </c>
      <c r="AF322" s="13" t="s">
        <v>1194</v>
      </c>
      <c r="AG322" s="13">
        <v>174.0</v>
      </c>
      <c r="AH322" s="29">
        <v>1.0211817E7</v>
      </c>
      <c r="AI322" s="17"/>
    </row>
    <row r="323">
      <c r="O323" s="13">
        <v>1.0</v>
      </c>
      <c r="P323" s="13" t="s">
        <v>1195</v>
      </c>
      <c r="Q323" s="13">
        <v>240.0</v>
      </c>
      <c r="R323" s="29">
        <v>1.5812696E7</v>
      </c>
      <c r="S323" s="17"/>
      <c r="X323" s="13">
        <v>1.0</v>
      </c>
      <c r="Y323" s="13" t="s">
        <v>1196</v>
      </c>
      <c r="Z323" s="13">
        <v>61.0</v>
      </c>
      <c r="AA323" s="29">
        <v>4454009.0</v>
      </c>
      <c r="AH323" s="40">
        <f>AH304+AI305+SUM(AH306:AH322)</f>
        <v>141838718</v>
      </c>
    </row>
    <row r="324">
      <c r="R324" s="40">
        <f>SUM(R301:R309)+SUM(S310:S311)+SUM(R312:R316)+S317+SUM(R318:R323)</f>
        <v>330645858</v>
      </c>
      <c r="X324" s="13">
        <v>1.0</v>
      </c>
      <c r="Y324" s="13" t="s">
        <v>1197</v>
      </c>
      <c r="Z324" s="13">
        <v>34.0</v>
      </c>
      <c r="AA324" s="29">
        <v>2773089.0</v>
      </c>
      <c r="AE324" s="9" t="s">
        <v>1198</v>
      </c>
    </row>
    <row r="325">
      <c r="O325" s="9" t="s">
        <v>1199</v>
      </c>
      <c r="X325" s="13">
        <v>1.0</v>
      </c>
      <c r="Y325" s="13" t="s">
        <v>1200</v>
      </c>
      <c r="Z325" s="13">
        <v>59.0</v>
      </c>
      <c r="AA325" s="29">
        <v>4337412.0</v>
      </c>
      <c r="AE325" s="13" t="s">
        <v>45</v>
      </c>
      <c r="AF325" s="13" t="s">
        <v>68</v>
      </c>
      <c r="AG325" s="13" t="s">
        <v>66</v>
      </c>
      <c r="AH325" s="13" t="s">
        <v>69</v>
      </c>
    </row>
    <row r="326">
      <c r="O326" s="13" t="s">
        <v>45</v>
      </c>
      <c r="P326" s="13" t="s">
        <v>68</v>
      </c>
      <c r="Q326" s="13" t="s">
        <v>66</v>
      </c>
      <c r="R326" s="13" t="s">
        <v>69</v>
      </c>
      <c r="S326" s="17"/>
      <c r="X326" s="13">
        <v>1.0</v>
      </c>
      <c r="Y326" s="13" t="s">
        <v>1201</v>
      </c>
      <c r="Z326" s="13">
        <v>42.0</v>
      </c>
      <c r="AA326" s="29">
        <v>3332757.0</v>
      </c>
      <c r="AE326" s="13">
        <v>1.0</v>
      </c>
      <c r="AF326" s="13" t="s">
        <v>1202</v>
      </c>
      <c r="AG326" s="13" t="s">
        <v>1203</v>
      </c>
      <c r="AH326" s="29">
        <v>646200.0</v>
      </c>
    </row>
    <row r="327">
      <c r="O327" s="13">
        <v>1.0</v>
      </c>
      <c r="P327" s="13" t="s">
        <v>1204</v>
      </c>
      <c r="Q327" s="13">
        <v>848.0</v>
      </c>
      <c r="R327" s="29">
        <v>7634970.0</v>
      </c>
      <c r="S327" s="17"/>
      <c r="X327" s="13">
        <v>1.0</v>
      </c>
      <c r="Y327" s="13" t="s">
        <v>1205</v>
      </c>
      <c r="Z327" s="13">
        <v>55.0</v>
      </c>
      <c r="AA327" s="29">
        <v>4108226.0</v>
      </c>
      <c r="AE327" s="13">
        <v>1.0</v>
      </c>
      <c r="AF327" s="13" t="s">
        <v>1206</v>
      </c>
      <c r="AG327" s="13" t="s">
        <v>1207</v>
      </c>
      <c r="AH327" s="29">
        <v>447375.0</v>
      </c>
    </row>
    <row r="328">
      <c r="O328" s="13">
        <v>5.0</v>
      </c>
      <c r="P328" s="13" t="s">
        <v>1208</v>
      </c>
      <c r="Q328" s="13">
        <v>600.0</v>
      </c>
      <c r="R328" s="29">
        <v>6000000.0</v>
      </c>
      <c r="S328" s="27">
        <f>R328*O328</f>
        <v>30000000</v>
      </c>
      <c r="X328" s="13">
        <v>1.0</v>
      </c>
      <c r="Y328" s="13" t="s">
        <v>1209</v>
      </c>
      <c r="Z328" s="13">
        <v>73.0</v>
      </c>
      <c r="AA328" s="29">
        <v>5449808.0</v>
      </c>
      <c r="AE328" s="13">
        <v>1.0</v>
      </c>
      <c r="AF328" s="13" t="s">
        <v>1210</v>
      </c>
      <c r="AG328" s="13" t="s">
        <v>1211</v>
      </c>
      <c r="AH328" s="29">
        <v>981292.0</v>
      </c>
    </row>
    <row r="329">
      <c r="O329" s="13">
        <v>1.0</v>
      </c>
      <c r="P329" s="13" t="s">
        <v>1212</v>
      </c>
      <c r="Q329" s="13">
        <v>800.0</v>
      </c>
      <c r="R329" s="29">
        <v>7200000.0</v>
      </c>
      <c r="S329" s="17"/>
      <c r="AA329" s="40">
        <f>SUM(AA300:AA328)</f>
        <v>124718872</v>
      </c>
      <c r="AE329" s="13">
        <v>1.0</v>
      </c>
      <c r="AF329" s="13" t="s">
        <v>1213</v>
      </c>
      <c r="AG329" s="13" t="s">
        <v>1214</v>
      </c>
      <c r="AH329" s="29">
        <v>983019.0</v>
      </c>
    </row>
    <row r="330">
      <c r="O330" s="13">
        <v>1.0</v>
      </c>
      <c r="P330" s="13" t="s">
        <v>1215</v>
      </c>
      <c r="Q330" s="13">
        <v>958.0</v>
      </c>
      <c r="R330" s="29">
        <v>7670080.0</v>
      </c>
      <c r="S330" s="17"/>
      <c r="X330" s="9" t="s">
        <v>1216</v>
      </c>
      <c r="AE330" s="13">
        <v>1.0</v>
      </c>
      <c r="AF330" s="13" t="s">
        <v>1217</v>
      </c>
      <c r="AG330" s="13" t="s">
        <v>1218</v>
      </c>
      <c r="AH330" s="29">
        <v>449369.0</v>
      </c>
    </row>
    <row r="331">
      <c r="O331" s="13">
        <v>1.0</v>
      </c>
      <c r="P331" s="13" t="s">
        <v>1219</v>
      </c>
      <c r="Q331" s="13">
        <v>741.0</v>
      </c>
      <c r="R331" s="29">
        <v>6676920.0</v>
      </c>
      <c r="S331" s="17"/>
      <c r="X331" s="13" t="s">
        <v>45</v>
      </c>
      <c r="Y331" s="13" t="s">
        <v>68</v>
      </c>
      <c r="Z331" s="13" t="s">
        <v>66</v>
      </c>
      <c r="AA331" s="13" t="s">
        <v>69</v>
      </c>
      <c r="AE331" s="13">
        <v>1.0</v>
      </c>
      <c r="AF331" s="13" t="s">
        <v>1220</v>
      </c>
      <c r="AG331" s="13" t="s">
        <v>1221</v>
      </c>
      <c r="AH331" s="29">
        <v>589120.0</v>
      </c>
    </row>
    <row r="332">
      <c r="O332" s="13">
        <v>1.0</v>
      </c>
      <c r="P332" s="13" t="s">
        <v>1222</v>
      </c>
      <c r="Q332" s="13">
        <v>730.0</v>
      </c>
      <c r="R332" s="29">
        <v>6573420.0</v>
      </c>
      <c r="S332" s="17"/>
      <c r="X332" s="13">
        <v>1.0</v>
      </c>
      <c r="Y332" s="13" t="s">
        <v>1223</v>
      </c>
      <c r="Z332" s="13" t="s">
        <v>1224</v>
      </c>
      <c r="AA332" s="29">
        <v>560605.0</v>
      </c>
      <c r="AE332" s="13">
        <v>1.0</v>
      </c>
      <c r="AF332" s="13" t="s">
        <v>1225</v>
      </c>
      <c r="AG332" s="13" t="s">
        <v>1226</v>
      </c>
      <c r="AH332" s="29">
        <v>384667.0</v>
      </c>
    </row>
    <row r="333">
      <c r="O333" s="13">
        <v>1.0</v>
      </c>
      <c r="P333" s="13" t="s">
        <v>1227</v>
      </c>
      <c r="Q333" s="13">
        <v>790.0</v>
      </c>
      <c r="R333" s="29">
        <v>7111350.0</v>
      </c>
      <c r="S333" s="17"/>
      <c r="X333" s="13">
        <v>1.0</v>
      </c>
      <c r="Y333" s="13" t="s">
        <v>1228</v>
      </c>
      <c r="Z333" s="13" t="s">
        <v>1229</v>
      </c>
      <c r="AA333" s="29">
        <v>826231.0</v>
      </c>
      <c r="AE333" s="13">
        <v>1.0</v>
      </c>
      <c r="AF333" s="13" t="s">
        <v>1230</v>
      </c>
      <c r="AG333" s="13" t="s">
        <v>1231</v>
      </c>
      <c r="AH333" s="29">
        <v>793666.0</v>
      </c>
    </row>
    <row r="334">
      <c r="R334" s="40">
        <f>R327+S328+SUM(R329:R333)</f>
        <v>72866740</v>
      </c>
      <c r="X334" s="13">
        <v>1.0</v>
      </c>
      <c r="Y334" s="13" t="s">
        <v>1232</v>
      </c>
      <c r="Z334" s="13" t="s">
        <v>1233</v>
      </c>
      <c r="AA334" s="29">
        <v>828075.0</v>
      </c>
      <c r="AE334" s="13">
        <v>1.0</v>
      </c>
      <c r="AF334" s="13" t="s">
        <v>1234</v>
      </c>
      <c r="AG334" s="13" t="s">
        <v>1235</v>
      </c>
      <c r="AH334" s="29">
        <v>795429.0</v>
      </c>
    </row>
    <row r="335">
      <c r="O335" s="9" t="s">
        <v>1236</v>
      </c>
      <c r="X335" s="13">
        <v>1.0</v>
      </c>
      <c r="Y335" s="13" t="s">
        <v>1237</v>
      </c>
      <c r="Z335" s="13" t="s">
        <v>1238</v>
      </c>
      <c r="AA335" s="29">
        <v>406217.0</v>
      </c>
      <c r="AE335" s="13">
        <v>1.0</v>
      </c>
      <c r="AF335" s="13" t="s">
        <v>1239</v>
      </c>
      <c r="AG335" s="13" t="s">
        <v>1240</v>
      </c>
      <c r="AH335" s="29">
        <v>386702.0</v>
      </c>
    </row>
    <row r="336">
      <c r="O336" s="13" t="s">
        <v>45</v>
      </c>
      <c r="P336" s="13" t="s">
        <v>68</v>
      </c>
      <c r="Q336" s="13" t="s">
        <v>66</v>
      </c>
      <c r="R336" s="13" t="s">
        <v>69</v>
      </c>
      <c r="S336" s="17"/>
      <c r="X336" s="13">
        <v>1.0</v>
      </c>
      <c r="Y336" s="13" t="s">
        <v>1241</v>
      </c>
      <c r="Z336" s="13" t="s">
        <v>1233</v>
      </c>
      <c r="AA336" s="29">
        <v>844803.0</v>
      </c>
      <c r="AE336" s="13">
        <v>1.0</v>
      </c>
      <c r="AF336" s="13" t="s">
        <v>1242</v>
      </c>
      <c r="AG336" s="13" t="s">
        <v>1243</v>
      </c>
      <c r="AH336" s="29">
        <v>601022.0</v>
      </c>
    </row>
    <row r="337">
      <c r="O337" s="13">
        <v>1.0</v>
      </c>
      <c r="P337" s="13" t="s">
        <v>1244</v>
      </c>
      <c r="Q337" s="32" t="s">
        <v>1245</v>
      </c>
      <c r="R337" s="29">
        <v>3436860.0</v>
      </c>
      <c r="S337" s="17"/>
      <c r="X337" s="13">
        <v>1.0</v>
      </c>
      <c r="Y337" s="13" t="s">
        <v>1246</v>
      </c>
      <c r="Z337" s="13" t="s">
        <v>1238</v>
      </c>
      <c r="AA337" s="29">
        <v>413955.0</v>
      </c>
      <c r="AE337" s="13">
        <v>1.0</v>
      </c>
      <c r="AF337" s="13" t="s">
        <v>1247</v>
      </c>
      <c r="AG337" s="13" t="s">
        <v>1226</v>
      </c>
      <c r="AH337" s="29">
        <v>392284.0</v>
      </c>
    </row>
    <row r="338">
      <c r="O338" s="13">
        <v>1.0</v>
      </c>
      <c r="P338" s="13" t="s">
        <v>1248</v>
      </c>
      <c r="Q338" s="32" t="s">
        <v>1249</v>
      </c>
      <c r="R338" s="29">
        <v>3027220.0</v>
      </c>
      <c r="S338" s="17"/>
      <c r="X338" s="13">
        <v>1.0</v>
      </c>
      <c r="Y338" s="13" t="s">
        <v>1250</v>
      </c>
      <c r="Z338" s="13" t="s">
        <v>1224</v>
      </c>
      <c r="AA338" s="29">
        <v>859615.0</v>
      </c>
      <c r="AE338" s="13">
        <v>1.0</v>
      </c>
      <c r="AF338" s="13" t="s">
        <v>1228</v>
      </c>
      <c r="AG338" s="13" t="s">
        <v>1251</v>
      </c>
      <c r="AH338" s="29">
        <v>810030.0</v>
      </c>
    </row>
    <row r="339">
      <c r="O339" s="13">
        <v>1.0</v>
      </c>
      <c r="P339" s="13" t="s">
        <v>1252</v>
      </c>
      <c r="Q339" s="32" t="s">
        <v>1253</v>
      </c>
      <c r="R339" s="29">
        <v>2251060.0</v>
      </c>
      <c r="S339" s="17"/>
      <c r="X339" s="13">
        <v>1.0</v>
      </c>
      <c r="Y339" s="13" t="s">
        <v>1254</v>
      </c>
      <c r="Z339" s="13" t="s">
        <v>1233</v>
      </c>
      <c r="AA339" s="29">
        <v>861532.0</v>
      </c>
      <c r="AE339" s="13">
        <v>1.0</v>
      </c>
      <c r="AF339" s="13" t="s">
        <v>1232</v>
      </c>
      <c r="AG339" s="13" t="s">
        <v>1235</v>
      </c>
      <c r="AH339" s="29">
        <v>811830.0</v>
      </c>
    </row>
    <row r="340">
      <c r="O340" s="13">
        <v>1.0</v>
      </c>
      <c r="P340" s="13" t="s">
        <v>1255</v>
      </c>
      <c r="Q340" s="32" t="s">
        <v>1256</v>
      </c>
      <c r="R340" s="29">
        <v>3377080.0</v>
      </c>
      <c r="S340" s="17"/>
      <c r="X340" s="13">
        <v>1.0</v>
      </c>
      <c r="Y340" s="13" t="s">
        <v>1257</v>
      </c>
      <c r="Z340" s="13" t="s">
        <v>1224</v>
      </c>
      <c r="AA340" s="29">
        <v>876306.0</v>
      </c>
      <c r="AE340" s="13">
        <v>1.0</v>
      </c>
      <c r="AF340" s="13" t="s">
        <v>1258</v>
      </c>
      <c r="AG340" s="13" t="s">
        <v>1240</v>
      </c>
      <c r="AH340" s="29">
        <v>394359.0</v>
      </c>
    </row>
    <row r="341">
      <c r="O341" s="13">
        <v>1.0</v>
      </c>
      <c r="P341" s="13" t="s">
        <v>1259</v>
      </c>
      <c r="Q341" s="32" t="s">
        <v>1260</v>
      </c>
      <c r="R341" s="29">
        <v>3396680.0</v>
      </c>
      <c r="S341" s="17"/>
      <c r="X341" s="13">
        <v>1.0</v>
      </c>
      <c r="Y341" s="13" t="s">
        <v>1261</v>
      </c>
      <c r="Z341" s="13" t="s">
        <v>1233</v>
      </c>
      <c r="AA341" s="29">
        <v>878261.0</v>
      </c>
      <c r="AE341" s="13">
        <v>1.0</v>
      </c>
      <c r="AF341" s="13" t="s">
        <v>1262</v>
      </c>
      <c r="AG341" s="13" t="s">
        <v>1263</v>
      </c>
      <c r="AH341" s="29">
        <v>643598.0</v>
      </c>
    </row>
    <row r="342">
      <c r="O342" s="13">
        <v>1.0</v>
      </c>
      <c r="P342" s="13" t="s">
        <v>1264</v>
      </c>
      <c r="Q342" s="32" t="s">
        <v>1265</v>
      </c>
      <c r="R342" s="29">
        <v>2482340.0</v>
      </c>
      <c r="S342" s="17"/>
      <c r="X342" s="13">
        <v>1.0</v>
      </c>
      <c r="Y342" s="13" t="s">
        <v>1266</v>
      </c>
      <c r="Z342" s="13" t="s">
        <v>1224</v>
      </c>
      <c r="AA342" s="29">
        <v>892998.0</v>
      </c>
      <c r="AE342" s="13">
        <v>1.0</v>
      </c>
      <c r="AF342" s="13" t="s">
        <v>1267</v>
      </c>
      <c r="AG342" s="13" t="s">
        <v>1243</v>
      </c>
      <c r="AH342" s="29">
        <v>612923.0</v>
      </c>
    </row>
    <row r="343">
      <c r="O343" s="13">
        <v>1.0</v>
      </c>
      <c r="P343" s="13" t="s">
        <v>1268</v>
      </c>
      <c r="Q343" s="32" t="s">
        <v>1269</v>
      </c>
      <c r="R343" s="29">
        <v>3326120.0</v>
      </c>
      <c r="S343" s="17"/>
      <c r="X343" s="13">
        <v>1.0</v>
      </c>
      <c r="Y343" s="13" t="s">
        <v>1270</v>
      </c>
      <c r="Z343" s="13" t="s">
        <v>1224</v>
      </c>
      <c r="AA343" s="29">
        <v>909689.0</v>
      </c>
      <c r="AE343" s="13">
        <v>1.0</v>
      </c>
      <c r="AF343" s="13" t="s">
        <v>1237</v>
      </c>
      <c r="AG343" s="13" t="s">
        <v>1226</v>
      </c>
      <c r="AH343" s="29">
        <v>399901.0</v>
      </c>
    </row>
    <row r="344">
      <c r="O344" s="13">
        <v>1.0</v>
      </c>
      <c r="P344" s="13" t="s">
        <v>1271</v>
      </c>
      <c r="Q344" s="32" t="s">
        <v>1272</v>
      </c>
      <c r="R344" s="29">
        <v>3435880.0</v>
      </c>
      <c r="S344" s="17"/>
      <c r="X344" s="13">
        <v>1.0</v>
      </c>
      <c r="Y344" s="13" t="s">
        <v>1273</v>
      </c>
      <c r="Z344" s="13" t="s">
        <v>1233</v>
      </c>
      <c r="AA344" s="29">
        <v>911718.0</v>
      </c>
      <c r="AE344" s="13">
        <v>1.0</v>
      </c>
      <c r="AF344" s="13" t="s">
        <v>1274</v>
      </c>
      <c r="AG344" s="13" t="s">
        <v>1231</v>
      </c>
      <c r="AH344" s="29">
        <v>826395.0</v>
      </c>
    </row>
    <row r="345">
      <c r="O345" s="13">
        <v>1.0</v>
      </c>
      <c r="P345" s="13" t="s">
        <v>1275</v>
      </c>
      <c r="Q345" s="32" t="s">
        <v>1276</v>
      </c>
      <c r="R345" s="29">
        <v>3419220.0</v>
      </c>
      <c r="S345" s="17"/>
      <c r="X345" s="13">
        <v>1.0</v>
      </c>
      <c r="Y345" s="13" t="s">
        <v>1277</v>
      </c>
      <c r="Z345" s="13" t="s">
        <v>1224</v>
      </c>
      <c r="AA345" s="29">
        <v>926381.0</v>
      </c>
      <c r="AE345" s="13">
        <v>1.0</v>
      </c>
      <c r="AF345" s="13" t="s">
        <v>1241</v>
      </c>
      <c r="AG345" s="13" t="s">
        <v>1278</v>
      </c>
      <c r="AH345" s="29">
        <v>828230.0</v>
      </c>
    </row>
    <row r="346">
      <c r="O346" s="13">
        <v>1.0</v>
      </c>
      <c r="P346" s="13" t="s">
        <v>1279</v>
      </c>
      <c r="Q346" s="32" t="s">
        <v>1280</v>
      </c>
      <c r="R346" s="29">
        <v>2579360.0</v>
      </c>
      <c r="S346" s="17"/>
      <c r="AA346" s="40">
        <f>SUM(AA332:AA345)</f>
        <v>10996386</v>
      </c>
      <c r="AE346" s="13">
        <v>1.0</v>
      </c>
      <c r="AF346" s="13" t="s">
        <v>1281</v>
      </c>
      <c r="AG346" s="13" t="s">
        <v>1282</v>
      </c>
      <c r="AH346" s="29">
        <v>402017.0</v>
      </c>
    </row>
    <row r="347">
      <c r="O347" s="13">
        <v>1.0</v>
      </c>
      <c r="P347" s="13" t="s">
        <v>1283</v>
      </c>
      <c r="Q347" s="32">
        <v>50.0</v>
      </c>
      <c r="R347" s="29">
        <v>2651880.0</v>
      </c>
      <c r="S347" s="17"/>
      <c r="AE347" s="13">
        <v>1.0</v>
      </c>
      <c r="AF347" s="13" t="s">
        <v>1284</v>
      </c>
      <c r="AG347" s="13" t="s">
        <v>1285</v>
      </c>
      <c r="AH347" s="29">
        <v>656343.0</v>
      </c>
    </row>
    <row r="348">
      <c r="O348" s="13">
        <v>1.0</v>
      </c>
      <c r="P348" s="13" t="s">
        <v>1286</v>
      </c>
      <c r="Q348" s="32" t="s">
        <v>1287</v>
      </c>
      <c r="R348" s="29">
        <v>3404520.0</v>
      </c>
      <c r="S348" s="17"/>
      <c r="AE348" s="13">
        <v>1.0</v>
      </c>
      <c r="AF348" s="13" t="s">
        <v>1288</v>
      </c>
      <c r="AG348" s="13" t="s">
        <v>1221</v>
      </c>
      <c r="AH348" s="29">
        <v>624824.0</v>
      </c>
    </row>
    <row r="349">
      <c r="O349" s="13">
        <v>1.0</v>
      </c>
      <c r="P349" s="13" t="s">
        <v>1289</v>
      </c>
      <c r="Q349" s="32" t="s">
        <v>1290</v>
      </c>
      <c r="R349" s="29">
        <v>2730280.0</v>
      </c>
      <c r="S349" s="17"/>
      <c r="AE349" s="13">
        <v>1.0</v>
      </c>
      <c r="AF349" s="13" t="s">
        <v>1246</v>
      </c>
      <c r="AG349" s="13" t="s">
        <v>1291</v>
      </c>
      <c r="AH349" s="29">
        <v>407518.0</v>
      </c>
    </row>
    <row r="350">
      <c r="O350" s="13">
        <v>1.0</v>
      </c>
      <c r="P350" s="13" t="s">
        <v>1292</v>
      </c>
      <c r="Q350" s="32" t="s">
        <v>1293</v>
      </c>
      <c r="R350" s="29">
        <v>3464300.0</v>
      </c>
      <c r="S350" s="17"/>
      <c r="AE350" s="13">
        <v>1.0</v>
      </c>
      <c r="AF350" s="13" t="s">
        <v>1294</v>
      </c>
      <c r="AG350" s="13" t="s">
        <v>1231</v>
      </c>
      <c r="AH350" s="29">
        <v>842759.0</v>
      </c>
    </row>
    <row r="351">
      <c r="O351" s="13">
        <v>1.0</v>
      </c>
      <c r="P351" s="13" t="s">
        <v>1295</v>
      </c>
      <c r="Q351" s="32" t="s">
        <v>1276</v>
      </c>
      <c r="R351" s="29">
        <v>3451560.0</v>
      </c>
      <c r="S351" s="17"/>
      <c r="AE351" s="13">
        <v>1.0</v>
      </c>
      <c r="AF351" s="13" t="s">
        <v>1254</v>
      </c>
      <c r="AG351" s="13" t="s">
        <v>1235</v>
      </c>
      <c r="AH351" s="29">
        <v>844631.0</v>
      </c>
    </row>
    <row r="352">
      <c r="O352" s="13">
        <v>1.0</v>
      </c>
      <c r="P352" s="13" t="s">
        <v>1296</v>
      </c>
      <c r="Q352" s="32" t="s">
        <v>1297</v>
      </c>
      <c r="R352" s="29">
        <v>2611700.0</v>
      </c>
      <c r="S352" s="17"/>
      <c r="AE352" s="13">
        <v>1.0</v>
      </c>
      <c r="AF352" s="13" t="s">
        <v>1298</v>
      </c>
      <c r="AG352" s="13" t="s">
        <v>1240</v>
      </c>
      <c r="AH352" s="29">
        <v>409674.0</v>
      </c>
    </row>
    <row r="353">
      <c r="O353" s="13">
        <v>1.0</v>
      </c>
      <c r="P353" s="13" t="s">
        <v>1299</v>
      </c>
      <c r="Q353" s="32" t="s">
        <v>1300</v>
      </c>
      <c r="R353" s="29">
        <v>3408440.0</v>
      </c>
      <c r="S353" s="17"/>
      <c r="AE353" s="13">
        <v>1.0</v>
      </c>
      <c r="AF353" s="13" t="s">
        <v>1301</v>
      </c>
      <c r="AG353" s="13" t="s">
        <v>1263</v>
      </c>
      <c r="AH353" s="29">
        <v>669087.0</v>
      </c>
    </row>
    <row r="354">
      <c r="O354" s="13">
        <v>1.0</v>
      </c>
      <c r="P354" s="13" t="s">
        <v>1302</v>
      </c>
      <c r="Q354" s="32">
        <v>50.0</v>
      </c>
      <c r="R354" s="29">
        <v>2684220.0</v>
      </c>
      <c r="S354" s="17"/>
      <c r="AE354" s="13">
        <v>1.0</v>
      </c>
      <c r="AF354" s="13" t="s">
        <v>1303</v>
      </c>
      <c r="AG354" s="13" t="s">
        <v>1221</v>
      </c>
      <c r="AH354" s="29">
        <v>636726.0</v>
      </c>
    </row>
    <row r="355">
      <c r="O355" s="13">
        <v>1.0</v>
      </c>
      <c r="P355" s="13" t="s">
        <v>1304</v>
      </c>
      <c r="Q355" s="32" t="s">
        <v>1305</v>
      </c>
      <c r="R355" s="29">
        <v>2762620.0</v>
      </c>
      <c r="S355" s="17"/>
      <c r="AE355" s="13">
        <v>1.0</v>
      </c>
      <c r="AF355" s="13" t="s">
        <v>1306</v>
      </c>
      <c r="AG355" s="13" t="s">
        <v>1226</v>
      </c>
      <c r="AH355" s="29">
        <v>415135.0</v>
      </c>
    </row>
    <row r="356">
      <c r="O356" s="13">
        <v>1.0</v>
      </c>
      <c r="P356" s="13" t="s">
        <v>1307</v>
      </c>
      <c r="Q356" s="32" t="s">
        <v>1308</v>
      </c>
      <c r="R356" s="29">
        <v>3678920.0</v>
      </c>
      <c r="S356" s="17"/>
      <c r="AE356" s="13">
        <v>1.0</v>
      </c>
      <c r="AF356" s="13" t="s">
        <v>1257</v>
      </c>
      <c r="AG356" s="13" t="s">
        <v>1251</v>
      </c>
      <c r="AH356" s="29">
        <v>859123.0</v>
      </c>
    </row>
    <row r="357">
      <c r="O357" s="13">
        <v>1.0</v>
      </c>
      <c r="P357" s="13" t="s">
        <v>1309</v>
      </c>
      <c r="Q357" s="32" t="s">
        <v>1310</v>
      </c>
      <c r="R357" s="29">
        <v>2840040.0</v>
      </c>
      <c r="S357" s="17"/>
      <c r="AE357" s="13">
        <v>1.0</v>
      </c>
      <c r="AF357" s="13" t="s">
        <v>1261</v>
      </c>
      <c r="AG357" s="13" t="s">
        <v>1278</v>
      </c>
      <c r="AH357" s="29">
        <v>861031.0</v>
      </c>
    </row>
    <row r="358">
      <c r="O358" s="13">
        <v>1.0</v>
      </c>
      <c r="P358" s="13" t="s">
        <v>1311</v>
      </c>
      <c r="Q358" s="32" t="s">
        <v>1312</v>
      </c>
      <c r="R358" s="29">
        <v>3439800.0</v>
      </c>
      <c r="S358" s="17"/>
      <c r="AE358" s="13">
        <v>1.0</v>
      </c>
      <c r="AF358" s="13" t="s">
        <v>1313</v>
      </c>
      <c r="AG358" s="13" t="s">
        <v>1282</v>
      </c>
      <c r="AH358" s="29">
        <v>417331.0</v>
      </c>
    </row>
    <row r="359">
      <c r="O359" s="13">
        <v>1.0</v>
      </c>
      <c r="P359" s="13" t="s">
        <v>1314</v>
      </c>
      <c r="Q359" s="32" t="s">
        <v>1315</v>
      </c>
      <c r="R359" s="29">
        <v>2715580.0</v>
      </c>
      <c r="S359" s="17"/>
      <c r="AE359" s="13">
        <v>1.0</v>
      </c>
      <c r="AF359" s="13" t="s">
        <v>1316</v>
      </c>
      <c r="AG359" s="13" t="s">
        <v>1285</v>
      </c>
      <c r="AH359" s="29">
        <v>681832.0</v>
      </c>
    </row>
    <row r="360">
      <c r="O360" s="13">
        <v>1.0</v>
      </c>
      <c r="P360" s="13" t="s">
        <v>1317</v>
      </c>
      <c r="Q360" s="32" t="s">
        <v>1318</v>
      </c>
      <c r="R360" s="29">
        <v>3468220.0</v>
      </c>
      <c r="S360" s="17"/>
      <c r="AE360" s="13">
        <v>1.0</v>
      </c>
      <c r="AF360" s="13" t="s">
        <v>1319</v>
      </c>
      <c r="AG360" s="13" t="s">
        <v>1221</v>
      </c>
      <c r="AH360" s="29">
        <v>648627.0</v>
      </c>
    </row>
    <row r="361">
      <c r="O361" s="13">
        <v>1.0</v>
      </c>
      <c r="P361" s="13" t="s">
        <v>1320</v>
      </c>
      <c r="Q361" s="32" t="s">
        <v>1305</v>
      </c>
      <c r="R361" s="29">
        <v>3528000.0</v>
      </c>
      <c r="S361" s="17"/>
      <c r="AE361" s="13">
        <v>1.0</v>
      </c>
      <c r="AF361" s="13" t="s">
        <v>1321</v>
      </c>
      <c r="AG361" s="13" t="s">
        <v>1226</v>
      </c>
      <c r="AH361" s="29">
        <v>422752.0</v>
      </c>
    </row>
    <row r="362">
      <c r="O362" s="13">
        <v>1.0</v>
      </c>
      <c r="P362" s="13" t="s">
        <v>1322</v>
      </c>
      <c r="Q362" s="32" t="s">
        <v>1293</v>
      </c>
      <c r="R362" s="29">
        <v>3711260.0</v>
      </c>
      <c r="S362" s="17"/>
      <c r="AE362" s="13">
        <v>1.0</v>
      </c>
      <c r="AF362" s="13" t="s">
        <v>1323</v>
      </c>
      <c r="AG362" s="13" t="s">
        <v>1231</v>
      </c>
      <c r="AH362" s="29">
        <v>875487.0</v>
      </c>
    </row>
    <row r="363">
      <c r="O363" s="13">
        <v>1.0</v>
      </c>
      <c r="P363" s="13" t="s">
        <v>1324</v>
      </c>
      <c r="Q363" s="32" t="s">
        <v>1308</v>
      </c>
      <c r="R363" s="29">
        <v>3711260.0</v>
      </c>
      <c r="S363" s="17"/>
      <c r="AE363" s="13">
        <v>1.0</v>
      </c>
      <c r="AF363" s="13" t="s">
        <v>1325</v>
      </c>
      <c r="AG363" s="13" t="s">
        <v>1235</v>
      </c>
      <c r="AH363" s="29">
        <v>877432.0</v>
      </c>
    </row>
    <row r="364">
      <c r="O364" s="13">
        <v>1.0</v>
      </c>
      <c r="P364" s="13" t="s">
        <v>1326</v>
      </c>
      <c r="Q364" s="32" t="s">
        <v>1310</v>
      </c>
      <c r="R364" s="29">
        <v>2871400.0</v>
      </c>
      <c r="S364" s="17"/>
      <c r="AE364" s="13">
        <v>1.0</v>
      </c>
      <c r="AF364" s="13" t="s">
        <v>1327</v>
      </c>
      <c r="AG364" s="13" t="s">
        <v>1240</v>
      </c>
      <c r="AH364" s="29">
        <v>424989.0</v>
      </c>
    </row>
    <row r="365">
      <c r="O365" s="13">
        <v>1.0</v>
      </c>
      <c r="P365" s="13" t="s">
        <v>1328</v>
      </c>
      <c r="Q365" s="32" t="s">
        <v>1312</v>
      </c>
      <c r="R365" s="29">
        <v>3472140.0</v>
      </c>
      <c r="S365" s="17"/>
      <c r="AE365" s="13">
        <v>1.0</v>
      </c>
      <c r="AF365" s="13" t="s">
        <v>1329</v>
      </c>
      <c r="AG365" s="13" t="s">
        <v>1263</v>
      </c>
      <c r="AH365" s="29">
        <v>694576.0</v>
      </c>
    </row>
    <row r="366">
      <c r="O366" s="13">
        <v>1.0</v>
      </c>
      <c r="P366" s="13" t="s">
        <v>1330</v>
      </c>
      <c r="Q366" s="32" t="s">
        <v>1315</v>
      </c>
      <c r="R366" s="29">
        <v>2845920.0</v>
      </c>
      <c r="S366" s="17"/>
      <c r="AE366" s="13">
        <v>1.0</v>
      </c>
      <c r="AF366" s="13" t="s">
        <v>1331</v>
      </c>
      <c r="AG366" s="13" t="s">
        <v>1221</v>
      </c>
      <c r="AH366" s="29">
        <v>660529.0</v>
      </c>
    </row>
    <row r="367">
      <c r="O367" s="13">
        <v>1.0</v>
      </c>
      <c r="P367" s="13" t="s">
        <v>1332</v>
      </c>
      <c r="Q367" s="32" t="s">
        <v>1287</v>
      </c>
      <c r="R367" s="29">
        <v>3500560.0</v>
      </c>
      <c r="S367" s="17"/>
      <c r="AE367" s="13">
        <v>1.0</v>
      </c>
      <c r="AF367" s="13" t="s">
        <v>1333</v>
      </c>
      <c r="AG367" s="13" t="s">
        <v>1226</v>
      </c>
      <c r="AH367" s="29">
        <v>430370.0</v>
      </c>
    </row>
    <row r="368">
      <c r="O368" s="13">
        <v>1.0</v>
      </c>
      <c r="P368" s="13" t="s">
        <v>1334</v>
      </c>
      <c r="Q368" s="32" t="s">
        <v>1305</v>
      </c>
      <c r="R368" s="29">
        <v>3756340.0</v>
      </c>
      <c r="S368" s="17"/>
      <c r="AE368" s="13">
        <v>1.0</v>
      </c>
      <c r="AF368" s="13" t="s">
        <v>1270</v>
      </c>
      <c r="AG368" s="13" t="s">
        <v>1231</v>
      </c>
      <c r="AH368" s="29">
        <v>891852.0</v>
      </c>
    </row>
    <row r="369">
      <c r="O369" s="13">
        <v>1.0</v>
      </c>
      <c r="P369" s="13" t="s">
        <v>1335</v>
      </c>
      <c r="Q369" s="32" t="s">
        <v>1293</v>
      </c>
      <c r="R369" s="29">
        <v>3743600.0</v>
      </c>
      <c r="S369" s="17"/>
      <c r="AE369" s="13">
        <v>1.0</v>
      </c>
      <c r="AF369" s="13" t="s">
        <v>1273</v>
      </c>
      <c r="AG369" s="13" t="s">
        <v>1235</v>
      </c>
      <c r="AH369" s="29">
        <v>893833.0</v>
      </c>
    </row>
    <row r="370">
      <c r="O370" s="13">
        <v>1.0</v>
      </c>
      <c r="P370" s="13" t="s">
        <v>1336</v>
      </c>
      <c r="Q370" s="32" t="s">
        <v>1308</v>
      </c>
      <c r="R370" s="29">
        <v>3743600.0</v>
      </c>
      <c r="S370" s="17"/>
      <c r="AE370" s="13">
        <v>1.0</v>
      </c>
      <c r="AF370" s="13" t="s">
        <v>1337</v>
      </c>
      <c r="AG370" s="13" t="s">
        <v>1240</v>
      </c>
      <c r="AH370" s="29">
        <v>432646.0</v>
      </c>
    </row>
    <row r="371">
      <c r="O371" s="13">
        <v>1.0</v>
      </c>
      <c r="P371" s="13" t="s">
        <v>1338</v>
      </c>
      <c r="Q371" s="32" t="s">
        <v>1310</v>
      </c>
      <c r="R371" s="29">
        <v>2903740.0</v>
      </c>
      <c r="S371" s="17"/>
      <c r="AE371" s="13">
        <v>1.0</v>
      </c>
      <c r="AF371" s="13" t="s">
        <v>1339</v>
      </c>
      <c r="AG371" s="13" t="s">
        <v>1263</v>
      </c>
      <c r="AH371" s="29">
        <v>707321.0</v>
      </c>
    </row>
    <row r="372">
      <c r="O372" s="13">
        <v>1.0</v>
      </c>
      <c r="P372" s="13" t="s">
        <v>1340</v>
      </c>
      <c r="Q372" s="32" t="s">
        <v>1312</v>
      </c>
      <c r="R372" s="29">
        <v>3504480.0</v>
      </c>
      <c r="S372" s="17"/>
      <c r="AE372" s="13">
        <v>1.0</v>
      </c>
      <c r="AF372" s="13" t="s">
        <v>1341</v>
      </c>
      <c r="AG372" s="13" t="s">
        <v>1221</v>
      </c>
      <c r="AH372" s="29">
        <v>672430.0</v>
      </c>
    </row>
    <row r="373">
      <c r="O373" s="13">
        <v>1.0</v>
      </c>
      <c r="P373" s="13" t="s">
        <v>1342</v>
      </c>
      <c r="Q373" s="32">
        <v>50.0</v>
      </c>
      <c r="R373" s="29">
        <v>2780260.0</v>
      </c>
      <c r="S373" s="17"/>
      <c r="AE373" s="13">
        <v>1.0</v>
      </c>
      <c r="AF373" s="13" t="s">
        <v>1343</v>
      </c>
      <c r="AG373" s="13" t="s">
        <v>1226</v>
      </c>
      <c r="AH373" s="29">
        <v>437987.0</v>
      </c>
    </row>
    <row r="374">
      <c r="O374" s="13">
        <v>1.0</v>
      </c>
      <c r="P374" s="13" t="s">
        <v>1344</v>
      </c>
      <c r="Q374" s="32" t="s">
        <v>1290</v>
      </c>
      <c r="R374" s="29">
        <v>2858660.0</v>
      </c>
      <c r="S374" s="17"/>
      <c r="AE374" s="13">
        <v>1.0</v>
      </c>
      <c r="AF374" s="13" t="s">
        <v>1277</v>
      </c>
      <c r="AG374" s="13" t="s">
        <v>1231</v>
      </c>
      <c r="AH374" s="29">
        <v>908216.0</v>
      </c>
    </row>
    <row r="375">
      <c r="O375" s="13">
        <v>1.0</v>
      </c>
      <c r="P375" s="13" t="s">
        <v>1345</v>
      </c>
      <c r="Q375" s="32" t="s">
        <v>1293</v>
      </c>
      <c r="R375" s="29">
        <v>3788680.0</v>
      </c>
      <c r="S375" s="17"/>
      <c r="AE375" s="13">
        <v>1.0</v>
      </c>
      <c r="AF375" s="13" t="s">
        <v>1346</v>
      </c>
      <c r="AG375" s="13" t="s">
        <v>1278</v>
      </c>
      <c r="AH375" s="29">
        <v>910233.0</v>
      </c>
    </row>
    <row r="376">
      <c r="O376" s="13">
        <v>1.0</v>
      </c>
      <c r="P376" s="13" t="s">
        <v>1347</v>
      </c>
      <c r="Q376" s="32" t="s">
        <v>1310</v>
      </c>
      <c r="R376" s="29">
        <v>2936080.0</v>
      </c>
      <c r="S376" s="17"/>
      <c r="AE376" s="13">
        <v>1.0</v>
      </c>
      <c r="AF376" s="13" t="s">
        <v>1348</v>
      </c>
      <c r="AG376" s="13" t="s">
        <v>1240</v>
      </c>
      <c r="AH376" s="29">
        <v>440304.0</v>
      </c>
    </row>
    <row r="377">
      <c r="O377" s="13">
        <v>1.0</v>
      </c>
      <c r="P377" s="13" t="s">
        <v>1349</v>
      </c>
      <c r="Q377" s="32" t="s">
        <v>1312</v>
      </c>
      <c r="R377" s="29">
        <v>3627960.0</v>
      </c>
      <c r="S377" s="17"/>
      <c r="AE377" s="13">
        <v>1.0</v>
      </c>
      <c r="AF377" s="13" t="s">
        <v>1350</v>
      </c>
      <c r="AG377" s="13" t="s">
        <v>1285</v>
      </c>
      <c r="AH377" s="29">
        <v>720065.0</v>
      </c>
    </row>
    <row r="378">
      <c r="O378" s="13">
        <v>1.0</v>
      </c>
      <c r="P378" s="13" t="s">
        <v>1351</v>
      </c>
      <c r="Q378" s="32" t="s">
        <v>1305</v>
      </c>
      <c r="R378" s="29">
        <v>2891000.0</v>
      </c>
      <c r="S378" s="17"/>
      <c r="AE378" s="13">
        <v>1.0</v>
      </c>
      <c r="AF378" s="13" t="s">
        <v>1352</v>
      </c>
      <c r="AG378" s="13" t="s">
        <v>1353</v>
      </c>
      <c r="AH378" s="29">
        <v>1170588.0</v>
      </c>
    </row>
    <row r="379">
      <c r="O379" s="13">
        <v>1.0</v>
      </c>
      <c r="P379" s="13" t="s">
        <v>1354</v>
      </c>
      <c r="Q379" s="32" t="s">
        <v>1276</v>
      </c>
      <c r="R379" s="29">
        <v>3807300.0</v>
      </c>
      <c r="S379" s="17"/>
      <c r="AE379" s="13">
        <v>1.0</v>
      </c>
      <c r="AF379" s="13" t="s">
        <v>1355</v>
      </c>
      <c r="AG379" s="13" t="s">
        <v>1231</v>
      </c>
      <c r="AH379" s="29">
        <v>940945.0</v>
      </c>
    </row>
    <row r="380">
      <c r="O380" s="13">
        <v>1.0</v>
      </c>
      <c r="P380" s="13" t="s">
        <v>1356</v>
      </c>
      <c r="Q380" s="32" t="s">
        <v>1297</v>
      </c>
      <c r="R380" s="29">
        <v>2968420.0</v>
      </c>
      <c r="S380" s="17"/>
      <c r="AE380" s="13">
        <v>1.0</v>
      </c>
      <c r="AF380" s="13" t="s">
        <v>1357</v>
      </c>
      <c r="AG380" s="13" t="s">
        <v>1235</v>
      </c>
      <c r="AH380" s="29">
        <v>943034.0</v>
      </c>
    </row>
    <row r="381">
      <c r="O381" s="13">
        <v>1.0</v>
      </c>
      <c r="P381" s="13" t="s">
        <v>1358</v>
      </c>
      <c r="Q381" s="32" t="s">
        <v>1359</v>
      </c>
      <c r="R381" s="29">
        <v>2924320.0</v>
      </c>
      <c r="S381" s="17"/>
      <c r="AE381" s="13">
        <v>1.0</v>
      </c>
      <c r="AF381" s="13" t="s">
        <v>1360</v>
      </c>
      <c r="AG381" s="13" t="s">
        <v>1361</v>
      </c>
      <c r="AH381" s="29">
        <v>1226566.0</v>
      </c>
    </row>
    <row r="382">
      <c r="O382" s="13">
        <v>1.0</v>
      </c>
      <c r="P382" s="13" t="s">
        <v>1362</v>
      </c>
      <c r="Q382" s="32" t="s">
        <v>1363</v>
      </c>
      <c r="R382" s="29">
        <v>3852380.0</v>
      </c>
      <c r="S382" s="17"/>
      <c r="AH382" s="40">
        <f>SUM(AH326:AH381)</f>
        <v>37836224</v>
      </c>
    </row>
    <row r="383">
      <c r="O383" s="13">
        <v>1.0</v>
      </c>
      <c r="P383" s="13" t="s">
        <v>1364</v>
      </c>
      <c r="Q383" s="32" t="s">
        <v>1308</v>
      </c>
      <c r="R383" s="29">
        <v>3839640.0</v>
      </c>
      <c r="S383" s="17"/>
    </row>
    <row r="384">
      <c r="O384" s="13">
        <v>1.0</v>
      </c>
      <c r="P384" s="13" t="s">
        <v>1365</v>
      </c>
      <c r="Q384" s="32" t="s">
        <v>1310</v>
      </c>
      <c r="R384" s="29">
        <v>2999780.0</v>
      </c>
      <c r="S384" s="17"/>
    </row>
    <row r="385">
      <c r="O385" s="13">
        <v>2.0</v>
      </c>
      <c r="P385" s="13" t="s">
        <v>1366</v>
      </c>
      <c r="Q385" s="32" t="s">
        <v>1367</v>
      </c>
      <c r="R385" s="29">
        <v>4745160.0</v>
      </c>
      <c r="S385" s="27">
        <f>R385*O385</f>
        <v>9490320</v>
      </c>
      <c r="AE385" s="9" t="s">
        <v>1368</v>
      </c>
    </row>
    <row r="386">
      <c r="O386" s="13">
        <v>1.0</v>
      </c>
      <c r="P386" s="13" t="s">
        <v>1369</v>
      </c>
      <c r="Q386" s="32" t="s">
        <v>1359</v>
      </c>
      <c r="R386" s="29">
        <v>2955680.0</v>
      </c>
      <c r="S386" s="17"/>
      <c r="AE386" s="13" t="s">
        <v>45</v>
      </c>
      <c r="AF386" s="13" t="s">
        <v>68</v>
      </c>
      <c r="AG386" s="13" t="s">
        <v>66</v>
      </c>
      <c r="AH386" s="13" t="s">
        <v>69</v>
      </c>
      <c r="AI386" s="17"/>
    </row>
    <row r="387">
      <c r="O387" s="13">
        <v>1.0</v>
      </c>
      <c r="P387" s="13" t="s">
        <v>1370</v>
      </c>
      <c r="Q387" s="32" t="s">
        <v>1371</v>
      </c>
      <c r="R387" s="29">
        <v>3884720.0</v>
      </c>
      <c r="S387" s="17"/>
      <c r="AE387" s="13">
        <v>16.0</v>
      </c>
      <c r="AF387" s="13" t="s">
        <v>1372</v>
      </c>
      <c r="AG387" s="13" t="s">
        <v>1373</v>
      </c>
      <c r="AH387" s="29">
        <v>161669.2</v>
      </c>
      <c r="AI387" s="27">
        <f t="shared" ref="AI387:AI388" si="47">AH387*AE387</f>
        <v>2586707.2</v>
      </c>
    </row>
    <row r="388">
      <c r="O388" s="13">
        <v>1.0</v>
      </c>
      <c r="P388" s="13" t="s">
        <v>1374</v>
      </c>
      <c r="Q388" s="32" t="s">
        <v>1308</v>
      </c>
      <c r="R388" s="29">
        <v>3839640.0</v>
      </c>
      <c r="S388" s="17"/>
      <c r="AE388" s="13">
        <v>2.0</v>
      </c>
      <c r="AF388" s="13" t="s">
        <v>1375</v>
      </c>
      <c r="AG388" s="13" t="s">
        <v>1376</v>
      </c>
      <c r="AH388" s="29">
        <v>239377.6</v>
      </c>
      <c r="AI388" s="27">
        <f t="shared" si="47"/>
        <v>478755.2</v>
      </c>
    </row>
    <row r="389">
      <c r="O389" s="13">
        <v>1.0</v>
      </c>
      <c r="P389" s="13" t="s">
        <v>1377</v>
      </c>
      <c r="Q389" s="32" t="s">
        <v>1297</v>
      </c>
      <c r="R389" s="29">
        <v>2999780.0</v>
      </c>
      <c r="S389" s="17"/>
      <c r="AE389" s="13">
        <v>1.0</v>
      </c>
      <c r="AF389" s="13" t="s">
        <v>1378</v>
      </c>
      <c r="AG389" s="13" t="s">
        <v>1379</v>
      </c>
      <c r="AH389" s="29">
        <v>153630.4</v>
      </c>
      <c r="AI389" s="17"/>
    </row>
    <row r="390">
      <c r="O390" s="13">
        <v>1.0</v>
      </c>
      <c r="P390" s="13" t="s">
        <v>1380</v>
      </c>
      <c r="Q390" s="32" t="s">
        <v>1359</v>
      </c>
      <c r="R390" s="29">
        <v>2955680.0</v>
      </c>
      <c r="S390" s="17"/>
      <c r="AE390" s="13">
        <v>1.0</v>
      </c>
      <c r="AF390" s="13" t="s">
        <v>1381</v>
      </c>
      <c r="AG390" s="13" t="s">
        <v>1382</v>
      </c>
      <c r="AH390" s="29">
        <v>169708.0</v>
      </c>
      <c r="AI390" s="17"/>
    </row>
    <row r="391">
      <c r="O391" s="13">
        <v>1.0</v>
      </c>
      <c r="P391" s="13" t="s">
        <v>1383</v>
      </c>
      <c r="Q391" s="32" t="s">
        <v>1371</v>
      </c>
      <c r="R391" s="29">
        <v>3884720.0</v>
      </c>
      <c r="S391" s="17"/>
      <c r="AE391" s="13">
        <v>2.0</v>
      </c>
      <c r="AF391" s="13" t="s">
        <v>1384</v>
      </c>
      <c r="AG391" s="13" t="s">
        <v>1385</v>
      </c>
      <c r="AH391" s="29">
        <v>206329.2</v>
      </c>
      <c r="AI391" s="27">
        <f>AH391*AE391</f>
        <v>412658.4</v>
      </c>
    </row>
    <row r="392">
      <c r="O392" s="13">
        <v>1.0</v>
      </c>
      <c r="P392" s="13" t="s">
        <v>1386</v>
      </c>
      <c r="Q392" s="13" t="s">
        <v>1387</v>
      </c>
      <c r="R392" s="29">
        <v>3389820.0</v>
      </c>
      <c r="S392" s="17"/>
      <c r="AH392" s="40">
        <f>SUM(AI387:AI388)+SUM(AH389:AH390)+AI391</f>
        <v>3801459.2</v>
      </c>
    </row>
    <row r="393">
      <c r="R393" s="40">
        <f>SUM(R337:R384)+S385+SUM(R386:R392)</f>
        <v>188011040</v>
      </c>
    </row>
    <row r="394">
      <c r="AE394" s="9" t="s">
        <v>1388</v>
      </c>
    </row>
    <row r="395">
      <c r="O395" s="9" t="s">
        <v>1389</v>
      </c>
      <c r="AE395" s="90">
        <f>AH392+R36</f>
        <v>113163105.9</v>
      </c>
    </row>
    <row r="396">
      <c r="O396" s="13" t="s">
        <v>45</v>
      </c>
      <c r="P396" s="13" t="s">
        <v>68</v>
      </c>
      <c r="Q396" s="13" t="s">
        <v>66</v>
      </c>
      <c r="R396" s="13" t="s">
        <v>69</v>
      </c>
    </row>
    <row r="397">
      <c r="O397" s="13">
        <v>1.0</v>
      </c>
      <c r="P397" s="13" t="s">
        <v>1390</v>
      </c>
      <c r="Q397" s="13" t="s">
        <v>1391</v>
      </c>
      <c r="R397" s="29">
        <v>6639798.36</v>
      </c>
    </row>
    <row r="398">
      <c r="O398" s="13">
        <v>1.0</v>
      </c>
      <c r="P398" s="13" t="s">
        <v>1392</v>
      </c>
      <c r="Q398" s="13" t="s">
        <v>1393</v>
      </c>
      <c r="R398" s="29">
        <v>6342583.08</v>
      </c>
    </row>
    <row r="399">
      <c r="O399" s="13">
        <v>1.0</v>
      </c>
      <c r="P399" s="13" t="s">
        <v>1394</v>
      </c>
      <c r="Q399" s="13" t="s">
        <v>1395</v>
      </c>
      <c r="R399" s="29">
        <v>8897450.96</v>
      </c>
    </row>
    <row r="400">
      <c r="O400" s="13">
        <v>1.0</v>
      </c>
      <c r="P400" s="13" t="s">
        <v>1396</v>
      </c>
      <c r="Q400" s="13" t="s">
        <v>1397</v>
      </c>
      <c r="R400" s="29">
        <v>8897450.96</v>
      </c>
    </row>
    <row r="401">
      <c r="R401" s="40">
        <f>SUM(R397:R400)</f>
        <v>30777283.36</v>
      </c>
    </row>
  </sheetData>
  <mergeCells count="52">
    <mergeCell ref="O3:R3"/>
    <mergeCell ref="X3:AA3"/>
    <mergeCell ref="AE3:AH3"/>
    <mergeCell ref="O8:R8"/>
    <mergeCell ref="O10:R10"/>
    <mergeCell ref="O16:R16"/>
    <mergeCell ref="AE21:AH21"/>
    <mergeCell ref="X34:AA34"/>
    <mergeCell ref="O37:R37"/>
    <mergeCell ref="X49:AA49"/>
    <mergeCell ref="AE57:AH57"/>
    <mergeCell ref="O59:R59"/>
    <mergeCell ref="O66:R66"/>
    <mergeCell ref="O75:R75"/>
    <mergeCell ref="O79:R79"/>
    <mergeCell ref="O86:R86"/>
    <mergeCell ref="AE90:AH90"/>
    <mergeCell ref="X91:AA91"/>
    <mergeCell ref="O94:R94"/>
    <mergeCell ref="O101:R101"/>
    <mergeCell ref="O106:R106"/>
    <mergeCell ref="X103:AA103"/>
    <mergeCell ref="X111:AA111"/>
    <mergeCell ref="X119:AA119"/>
    <mergeCell ref="AE124:AH124"/>
    <mergeCell ref="O127:R127"/>
    <mergeCell ref="AE128:AH128"/>
    <mergeCell ref="O141:R141"/>
    <mergeCell ref="AE180:AH180"/>
    <mergeCell ref="O182:R182"/>
    <mergeCell ref="AE184:AH184"/>
    <mergeCell ref="AE189:AH189"/>
    <mergeCell ref="AE196:AH196"/>
    <mergeCell ref="X197:AA197"/>
    <mergeCell ref="X202:AA202"/>
    <mergeCell ref="X209:AA209"/>
    <mergeCell ref="AE214:AH214"/>
    <mergeCell ref="O220:R220"/>
    <mergeCell ref="AE243:AH243"/>
    <mergeCell ref="O259:R259"/>
    <mergeCell ref="X271:AA271"/>
    <mergeCell ref="AE291:AF291"/>
    <mergeCell ref="AE385:AH385"/>
    <mergeCell ref="AE394:AG394"/>
    <mergeCell ref="O395:S395"/>
    <mergeCell ref="X298:AA298"/>
    <mergeCell ref="O299:R299"/>
    <mergeCell ref="AE302:AI302"/>
    <mergeCell ref="AE324:AH324"/>
    <mergeCell ref="O325:R325"/>
    <mergeCell ref="X330:AA330"/>
    <mergeCell ref="O335:R3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8.0"/>
    <col customWidth="1" min="3" max="3" width="16.38"/>
    <col customWidth="1" min="4" max="4" width="20.63"/>
    <col customWidth="1" min="5" max="5" width="22.38"/>
    <col customWidth="1" min="7" max="7" width="15.75"/>
    <col customWidth="1" min="8" max="8" width="23.63"/>
    <col customWidth="1" min="9" max="9" width="21.88"/>
  </cols>
  <sheetData>
    <row r="3">
      <c r="B3" s="9" t="s">
        <v>1398</v>
      </c>
    </row>
    <row r="5">
      <c r="A5" s="91" t="s">
        <v>1399</v>
      </c>
      <c r="B5" s="91" t="s">
        <v>1400</v>
      </c>
      <c r="C5" s="91" t="s">
        <v>1401</v>
      </c>
      <c r="D5" s="91" t="s">
        <v>1402</v>
      </c>
      <c r="E5" s="91" t="s">
        <v>1403</v>
      </c>
      <c r="F5" s="92" t="s">
        <v>1404</v>
      </c>
      <c r="G5" s="92" t="s">
        <v>1405</v>
      </c>
      <c r="H5" s="92" t="s">
        <v>1406</v>
      </c>
      <c r="I5" s="92" t="s">
        <v>1407</v>
      </c>
    </row>
    <row r="6">
      <c r="A6" s="93" t="s">
        <v>1408</v>
      </c>
      <c r="B6" s="94" t="s">
        <v>1409</v>
      </c>
      <c r="C6" s="93" t="s">
        <v>1410</v>
      </c>
      <c r="D6" s="93" t="s">
        <v>1411</v>
      </c>
      <c r="E6" s="95">
        <v>5970000.0</v>
      </c>
      <c r="F6" s="28">
        <v>0.06</v>
      </c>
      <c r="G6" s="27">
        <f t="shared" ref="G6:G21" si="1">E6*F6</f>
        <v>358200</v>
      </c>
      <c r="H6" s="41">
        <v>46027.0</v>
      </c>
      <c r="I6" s="41">
        <v>46208.0</v>
      </c>
    </row>
    <row r="7">
      <c r="A7" s="96" t="s">
        <v>1412</v>
      </c>
      <c r="B7" s="97" t="s">
        <v>1413</v>
      </c>
      <c r="C7" s="93" t="s">
        <v>1414</v>
      </c>
      <c r="D7" s="93" t="s">
        <v>1415</v>
      </c>
      <c r="E7" s="95">
        <v>2660000.0</v>
      </c>
      <c r="F7" s="28">
        <v>0.04</v>
      </c>
      <c r="G7" s="27">
        <f t="shared" si="1"/>
        <v>106400</v>
      </c>
      <c r="H7" s="30">
        <v>46073.0</v>
      </c>
      <c r="I7" s="17"/>
    </row>
    <row r="8">
      <c r="A8" s="96" t="s">
        <v>1416</v>
      </c>
      <c r="B8" s="97" t="s">
        <v>1417</v>
      </c>
      <c r="C8" s="93">
        <v>0.0</v>
      </c>
      <c r="D8" s="93" t="s">
        <v>1418</v>
      </c>
      <c r="E8" s="95">
        <v>950000.0</v>
      </c>
      <c r="F8" s="28">
        <v>0.05</v>
      </c>
      <c r="G8" s="27">
        <f t="shared" si="1"/>
        <v>47500</v>
      </c>
      <c r="H8" s="17"/>
      <c r="I8" s="17"/>
    </row>
    <row r="9">
      <c r="A9" s="96" t="s">
        <v>1412</v>
      </c>
      <c r="B9" s="98" t="s">
        <v>1419</v>
      </c>
      <c r="C9" s="93" t="s">
        <v>1420</v>
      </c>
      <c r="D9" s="93">
        <v>0.0</v>
      </c>
      <c r="E9" s="95">
        <v>5200000.0</v>
      </c>
      <c r="F9" s="28">
        <v>0.05</v>
      </c>
      <c r="G9" s="27">
        <f t="shared" si="1"/>
        <v>260000</v>
      </c>
      <c r="H9" s="17"/>
      <c r="I9" s="30">
        <v>46081.0</v>
      </c>
    </row>
    <row r="10">
      <c r="A10" s="96" t="s">
        <v>1421</v>
      </c>
      <c r="B10" s="97" t="s">
        <v>1422</v>
      </c>
      <c r="C10" s="93" t="s">
        <v>1423</v>
      </c>
      <c r="D10" s="93" t="s">
        <v>1424</v>
      </c>
      <c r="E10" s="95">
        <v>1.35E7</v>
      </c>
      <c r="F10" s="28">
        <v>0.05</v>
      </c>
      <c r="G10" s="27">
        <f t="shared" si="1"/>
        <v>675000</v>
      </c>
      <c r="H10" s="17"/>
      <c r="I10" s="30">
        <v>46081.0</v>
      </c>
    </row>
    <row r="11">
      <c r="A11" s="96" t="s">
        <v>1412</v>
      </c>
      <c r="B11" s="98" t="s">
        <v>1425</v>
      </c>
      <c r="C11" s="93" t="s">
        <v>1426</v>
      </c>
      <c r="D11" s="93" t="s">
        <v>1427</v>
      </c>
      <c r="E11" s="95">
        <v>1.15E7</v>
      </c>
      <c r="F11" s="28">
        <v>0.06</v>
      </c>
      <c r="G11" s="27">
        <f t="shared" si="1"/>
        <v>690000</v>
      </c>
      <c r="H11" s="17"/>
      <c r="I11" s="17"/>
    </row>
    <row r="12">
      <c r="A12" s="96" t="s">
        <v>1412</v>
      </c>
      <c r="B12" s="97" t="s">
        <v>1428</v>
      </c>
      <c r="C12" s="93" t="s">
        <v>1429</v>
      </c>
      <c r="D12" s="93" t="s">
        <v>1430</v>
      </c>
      <c r="E12" s="95">
        <v>950000.0</v>
      </c>
      <c r="F12" s="28">
        <v>0.06</v>
      </c>
      <c r="G12" s="27">
        <f t="shared" si="1"/>
        <v>57000</v>
      </c>
      <c r="H12" s="30">
        <v>46073.0</v>
      </c>
      <c r="I12" s="17"/>
    </row>
    <row r="13">
      <c r="A13" s="96" t="s">
        <v>1412</v>
      </c>
      <c r="B13" s="98" t="s">
        <v>1431</v>
      </c>
      <c r="C13" s="93" t="s">
        <v>1432</v>
      </c>
      <c r="D13" s="93" t="s">
        <v>1433</v>
      </c>
      <c r="E13" s="95">
        <v>9700000.0</v>
      </c>
      <c r="F13" s="99">
        <v>0.065</v>
      </c>
      <c r="G13" s="27">
        <f t="shared" si="1"/>
        <v>630500</v>
      </c>
      <c r="H13" s="30">
        <v>46073.0</v>
      </c>
      <c r="I13" s="17"/>
    </row>
    <row r="14">
      <c r="A14" s="93" t="s">
        <v>1408</v>
      </c>
      <c r="B14" s="97" t="s">
        <v>1434</v>
      </c>
      <c r="C14" s="93" t="s">
        <v>1435</v>
      </c>
      <c r="D14" s="93" t="s">
        <v>1436</v>
      </c>
      <c r="E14" s="95">
        <v>1350000.0</v>
      </c>
      <c r="F14" s="28">
        <v>0.03</v>
      </c>
      <c r="G14" s="27">
        <f t="shared" si="1"/>
        <v>40500</v>
      </c>
      <c r="H14" s="30">
        <v>46073.0</v>
      </c>
      <c r="I14" s="17"/>
    </row>
    <row r="15">
      <c r="A15" s="96" t="s">
        <v>1412</v>
      </c>
      <c r="B15" s="98" t="s">
        <v>1437</v>
      </c>
      <c r="C15" s="93" t="s">
        <v>1438</v>
      </c>
      <c r="D15" s="93">
        <v>0.0</v>
      </c>
      <c r="E15" s="95">
        <v>4500000.0</v>
      </c>
      <c r="F15" s="28">
        <v>0.05</v>
      </c>
      <c r="G15" s="27">
        <f t="shared" si="1"/>
        <v>225000</v>
      </c>
      <c r="H15" s="17"/>
      <c r="I15" s="17"/>
    </row>
    <row r="16">
      <c r="A16" s="96" t="s">
        <v>1412</v>
      </c>
      <c r="B16" s="98" t="s">
        <v>1439</v>
      </c>
      <c r="C16" s="93" t="s">
        <v>1440</v>
      </c>
      <c r="D16" s="93" t="s">
        <v>1441</v>
      </c>
      <c r="E16" s="95">
        <v>1.74E7</v>
      </c>
      <c r="F16" s="28">
        <v>0.04</v>
      </c>
      <c r="G16" s="27">
        <f t="shared" si="1"/>
        <v>696000</v>
      </c>
      <c r="H16" s="30">
        <v>46073.0</v>
      </c>
      <c r="I16" s="17"/>
    </row>
    <row r="17">
      <c r="A17" s="96" t="s">
        <v>1442</v>
      </c>
      <c r="B17" s="98" t="s">
        <v>1443</v>
      </c>
      <c r="C17" s="93" t="s">
        <v>1444</v>
      </c>
      <c r="D17" s="93">
        <v>0.0</v>
      </c>
      <c r="E17" s="95">
        <v>1.09E7</v>
      </c>
      <c r="F17" s="28">
        <v>0.06</v>
      </c>
      <c r="G17" s="27">
        <f t="shared" si="1"/>
        <v>654000</v>
      </c>
      <c r="H17" s="17"/>
      <c r="I17" s="17"/>
    </row>
    <row r="18">
      <c r="A18" s="96" t="s">
        <v>1445</v>
      </c>
      <c r="B18" s="98" t="s">
        <v>1446</v>
      </c>
      <c r="C18" s="100"/>
      <c r="D18" s="101"/>
      <c r="E18" s="95">
        <v>2.16E7</v>
      </c>
      <c r="F18" s="28">
        <v>0.08</v>
      </c>
      <c r="G18" s="27">
        <f t="shared" si="1"/>
        <v>1728000</v>
      </c>
      <c r="H18" s="17"/>
      <c r="I18" s="17"/>
    </row>
    <row r="19">
      <c r="A19" s="93" t="s">
        <v>1447</v>
      </c>
      <c r="B19" s="98" t="s">
        <v>1448</v>
      </c>
      <c r="C19" s="93" t="s">
        <v>1449</v>
      </c>
      <c r="D19" s="101"/>
      <c r="E19" s="95">
        <v>1.12E8</v>
      </c>
      <c r="F19" s="28">
        <v>0.06</v>
      </c>
      <c r="G19" s="27">
        <f t="shared" si="1"/>
        <v>6720000</v>
      </c>
      <c r="H19" s="30">
        <v>46041.0</v>
      </c>
      <c r="I19" s="17"/>
    </row>
    <row r="20">
      <c r="A20" s="93" t="s">
        <v>1450</v>
      </c>
      <c r="B20" s="98" t="s">
        <v>1451</v>
      </c>
      <c r="C20" s="102" t="s">
        <v>1452</v>
      </c>
      <c r="D20" s="101"/>
      <c r="E20" s="95">
        <v>6.0E7</v>
      </c>
      <c r="F20" s="28">
        <v>0.06</v>
      </c>
      <c r="G20" s="27">
        <f t="shared" si="1"/>
        <v>3600000</v>
      </c>
      <c r="H20" s="17"/>
      <c r="I20" s="17"/>
    </row>
    <row r="21">
      <c r="A21" s="93" t="s">
        <v>1412</v>
      </c>
      <c r="B21" s="98" t="s">
        <v>1453</v>
      </c>
      <c r="C21" s="102" t="s">
        <v>1454</v>
      </c>
      <c r="D21" s="101"/>
      <c r="E21" s="95">
        <v>5.439744E7</v>
      </c>
      <c r="F21" s="28">
        <v>0.06</v>
      </c>
      <c r="G21" s="27">
        <f t="shared" si="1"/>
        <v>3263846.4</v>
      </c>
      <c r="H21" s="17"/>
      <c r="I21" s="17"/>
    </row>
    <row r="22">
      <c r="A22" s="103"/>
      <c r="B22" s="103"/>
      <c r="C22" s="103"/>
      <c r="D22" s="104" t="s">
        <v>1455</v>
      </c>
      <c r="E22" s="105" t="s">
        <v>1456</v>
      </c>
      <c r="F22" s="17"/>
      <c r="G22" s="27">
        <f>SUM(G6:G21)</f>
        <v>19751946.4</v>
      </c>
      <c r="H22" s="17"/>
      <c r="I22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20.0"/>
    <col customWidth="1" min="4" max="4" width="22.25"/>
    <col customWidth="1" min="5" max="5" width="19.75"/>
    <col customWidth="1" min="8" max="8" width="51.63"/>
    <col customWidth="1" min="9" max="9" width="20.63"/>
    <col customWidth="1" min="10" max="10" width="20.0"/>
    <col customWidth="1" min="11" max="11" width="18.5"/>
    <col customWidth="1" min="14" max="14" width="34.13"/>
    <col customWidth="1" min="15" max="15" width="23.38"/>
    <col customWidth="1" min="16" max="16" width="20.88"/>
    <col customWidth="1" min="17" max="17" width="20.75"/>
    <col customWidth="1" min="18" max="18" width="14.63"/>
  </cols>
  <sheetData>
    <row r="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>
      <c r="A5" s="64" t="s">
        <v>59</v>
      </c>
      <c r="C5" s="64"/>
      <c r="D5" s="64"/>
      <c r="E5" s="64"/>
      <c r="F5" s="64"/>
      <c r="G5" s="64" t="s">
        <v>60</v>
      </c>
      <c r="I5" s="64"/>
      <c r="J5" s="64"/>
      <c r="K5" s="64"/>
      <c r="L5" s="64"/>
      <c r="M5" s="64" t="s">
        <v>61</v>
      </c>
      <c r="O5" s="64"/>
      <c r="P5" s="64"/>
      <c r="Q5" s="64"/>
      <c r="R5" s="64"/>
    </row>
    <row r="6">
      <c r="A6" s="67" t="s">
        <v>45</v>
      </c>
      <c r="B6" s="67" t="s">
        <v>65</v>
      </c>
      <c r="C6" s="65" t="s">
        <v>1457</v>
      </c>
      <c r="D6" s="65" t="s">
        <v>1458</v>
      </c>
      <c r="E6" s="67" t="s">
        <v>1459</v>
      </c>
      <c r="F6" s="64"/>
      <c r="G6" s="67" t="s">
        <v>45</v>
      </c>
      <c r="H6" s="67" t="s">
        <v>68</v>
      </c>
      <c r="I6" s="65" t="s">
        <v>1457</v>
      </c>
      <c r="J6" s="65" t="s">
        <v>1458</v>
      </c>
      <c r="K6" s="67" t="s">
        <v>1459</v>
      </c>
      <c r="L6" s="64"/>
      <c r="M6" s="67" t="s">
        <v>45</v>
      </c>
      <c r="N6" s="67" t="s">
        <v>68</v>
      </c>
      <c r="O6" s="65" t="s">
        <v>1457</v>
      </c>
      <c r="P6" s="65" t="s">
        <v>1458</v>
      </c>
      <c r="Q6" s="67" t="s">
        <v>1459</v>
      </c>
      <c r="R6" s="64"/>
    </row>
    <row r="7">
      <c r="A7" s="68">
        <v>1.0</v>
      </c>
      <c r="B7" s="68" t="s">
        <v>73</v>
      </c>
      <c r="C7" s="89" t="s">
        <v>1460</v>
      </c>
      <c r="D7" s="89" t="s">
        <v>1461</v>
      </c>
      <c r="E7" s="89" t="s">
        <v>1462</v>
      </c>
      <c r="F7" s="64"/>
      <c r="G7" s="68">
        <v>1.0</v>
      </c>
      <c r="H7" s="67" t="s">
        <v>75</v>
      </c>
      <c r="I7" s="89" t="s">
        <v>1401</v>
      </c>
      <c r="J7" s="89" t="s">
        <v>1461</v>
      </c>
      <c r="K7" s="89" t="s">
        <v>1462</v>
      </c>
      <c r="L7" s="64"/>
      <c r="M7" s="68">
        <v>1.0</v>
      </c>
      <c r="N7" s="67" t="s">
        <v>77</v>
      </c>
      <c r="O7" s="89" t="s">
        <v>1463</v>
      </c>
      <c r="P7" s="89" t="s">
        <v>1461</v>
      </c>
      <c r="Q7" s="89" t="s">
        <v>1462</v>
      </c>
      <c r="R7" s="64"/>
    </row>
    <row r="8">
      <c r="A8" s="68">
        <v>1.0</v>
      </c>
      <c r="B8" s="68" t="s">
        <v>81</v>
      </c>
      <c r="C8" s="89" t="s">
        <v>1460</v>
      </c>
      <c r="D8" s="89" t="s">
        <v>1461</v>
      </c>
      <c r="E8" s="89" t="s">
        <v>1462</v>
      </c>
      <c r="F8" s="64"/>
      <c r="G8" s="68">
        <v>2.0</v>
      </c>
      <c r="H8" s="67" t="s">
        <v>82</v>
      </c>
      <c r="I8" s="89" t="s">
        <v>1401</v>
      </c>
      <c r="J8" s="89" t="s">
        <v>1461</v>
      </c>
      <c r="K8" s="89" t="s">
        <v>1462</v>
      </c>
      <c r="L8" s="64"/>
      <c r="M8" s="68">
        <v>1.0</v>
      </c>
      <c r="N8" s="67" t="s">
        <v>84</v>
      </c>
      <c r="O8" s="89" t="s">
        <v>1463</v>
      </c>
      <c r="P8" s="89" t="s">
        <v>1461</v>
      </c>
      <c r="Q8" s="89" t="s">
        <v>1462</v>
      </c>
      <c r="R8" s="64"/>
    </row>
    <row r="9">
      <c r="A9" s="64"/>
      <c r="B9" s="64"/>
      <c r="C9" s="64"/>
      <c r="D9" s="64"/>
      <c r="E9" s="64"/>
      <c r="F9" s="64"/>
      <c r="G9" s="68">
        <v>1.0</v>
      </c>
      <c r="H9" s="67" t="s">
        <v>88</v>
      </c>
      <c r="I9" s="89" t="s">
        <v>1401</v>
      </c>
      <c r="J9" s="89" t="s">
        <v>1461</v>
      </c>
      <c r="K9" s="89" t="s">
        <v>1462</v>
      </c>
      <c r="L9" s="64"/>
      <c r="M9" s="68">
        <v>1.0</v>
      </c>
      <c r="N9" s="67" t="s">
        <v>90</v>
      </c>
      <c r="O9" s="89" t="s">
        <v>1463</v>
      </c>
      <c r="P9" s="89" t="s">
        <v>1461</v>
      </c>
      <c r="Q9" s="89" t="s">
        <v>1462</v>
      </c>
      <c r="R9" s="64"/>
    </row>
    <row r="10">
      <c r="A10" s="64" t="s">
        <v>103</v>
      </c>
      <c r="C10" s="64"/>
      <c r="D10" s="64"/>
      <c r="E10" s="64"/>
      <c r="F10" s="64"/>
      <c r="G10" s="68">
        <v>1.0</v>
      </c>
      <c r="H10" s="67" t="s">
        <v>92</v>
      </c>
      <c r="I10" s="89" t="s">
        <v>1401</v>
      </c>
      <c r="J10" s="89" t="s">
        <v>1461</v>
      </c>
      <c r="K10" s="89" t="s">
        <v>1462</v>
      </c>
      <c r="L10" s="64"/>
      <c r="M10" s="68">
        <v>1.0</v>
      </c>
      <c r="N10" s="67" t="s">
        <v>94</v>
      </c>
      <c r="O10" s="89" t="s">
        <v>1463</v>
      </c>
      <c r="P10" s="89" t="s">
        <v>1461</v>
      </c>
      <c r="Q10" s="89" t="s">
        <v>1462</v>
      </c>
      <c r="R10" s="64"/>
    </row>
    <row r="11">
      <c r="A11" s="67" t="s">
        <v>45</v>
      </c>
      <c r="B11" s="67" t="s">
        <v>65</v>
      </c>
      <c r="C11" s="65" t="s">
        <v>1457</v>
      </c>
      <c r="D11" s="65" t="s">
        <v>1458</v>
      </c>
      <c r="E11" s="67" t="s">
        <v>1459</v>
      </c>
      <c r="F11" s="64"/>
      <c r="G11" s="68">
        <v>1.0</v>
      </c>
      <c r="H11" s="67" t="s">
        <v>98</v>
      </c>
      <c r="I11" s="89" t="s">
        <v>1401</v>
      </c>
      <c r="J11" s="89" t="s">
        <v>1461</v>
      </c>
      <c r="K11" s="89" t="s">
        <v>1462</v>
      </c>
      <c r="L11" s="64"/>
      <c r="M11" s="68">
        <v>1.0</v>
      </c>
      <c r="N11" s="67" t="s">
        <v>99</v>
      </c>
      <c r="O11" s="89" t="s">
        <v>1463</v>
      </c>
      <c r="P11" s="89" t="s">
        <v>1461</v>
      </c>
      <c r="Q11" s="89" t="s">
        <v>1462</v>
      </c>
      <c r="R11" s="64"/>
    </row>
    <row r="12">
      <c r="A12" s="68">
        <v>1.0</v>
      </c>
      <c r="B12" s="67" t="s">
        <v>129</v>
      </c>
      <c r="C12" s="89" t="s">
        <v>1460</v>
      </c>
      <c r="D12" s="89" t="s">
        <v>1461</v>
      </c>
      <c r="E12" s="89" t="s">
        <v>1462</v>
      </c>
      <c r="F12" s="64"/>
      <c r="G12" s="68">
        <v>2.0</v>
      </c>
      <c r="H12" s="67" t="s">
        <v>104</v>
      </c>
      <c r="I12" s="89" t="s">
        <v>1401</v>
      </c>
      <c r="J12" s="89" t="s">
        <v>1461</v>
      </c>
      <c r="K12" s="89" t="s">
        <v>1462</v>
      </c>
      <c r="L12" s="64"/>
      <c r="M12" s="68">
        <v>1.0</v>
      </c>
      <c r="N12" s="67" t="s">
        <v>105</v>
      </c>
      <c r="O12" s="89" t="s">
        <v>1463</v>
      </c>
      <c r="P12" s="89" t="s">
        <v>1461</v>
      </c>
      <c r="Q12" s="89" t="s">
        <v>1462</v>
      </c>
      <c r="R12" s="64"/>
    </row>
    <row r="13">
      <c r="A13" s="68">
        <v>1.0</v>
      </c>
      <c r="B13" s="67" t="s">
        <v>115</v>
      </c>
      <c r="C13" s="89" t="s">
        <v>1460</v>
      </c>
      <c r="D13" s="89" t="s">
        <v>1461</v>
      </c>
      <c r="E13" s="89" t="s">
        <v>1462</v>
      </c>
      <c r="F13" s="64"/>
      <c r="G13" s="68">
        <v>1.0</v>
      </c>
      <c r="H13" s="67" t="s">
        <v>109</v>
      </c>
      <c r="I13" s="89" t="s">
        <v>1401</v>
      </c>
      <c r="J13" s="89" t="s">
        <v>1461</v>
      </c>
      <c r="K13" s="89" t="s">
        <v>1462</v>
      </c>
      <c r="L13" s="64"/>
      <c r="M13" s="68">
        <v>1.0</v>
      </c>
      <c r="N13" s="67" t="s">
        <v>111</v>
      </c>
      <c r="O13" s="89" t="s">
        <v>1463</v>
      </c>
      <c r="P13" s="89" t="s">
        <v>1461</v>
      </c>
      <c r="Q13" s="89" t="s">
        <v>1462</v>
      </c>
      <c r="R13" s="64"/>
    </row>
    <row r="14">
      <c r="A14" s="68">
        <v>1.0</v>
      </c>
      <c r="B14" s="67" t="s">
        <v>115</v>
      </c>
      <c r="C14" s="89" t="s">
        <v>1460</v>
      </c>
      <c r="D14" s="89" t="s">
        <v>1461</v>
      </c>
      <c r="E14" s="89" t="s">
        <v>1462</v>
      </c>
      <c r="F14" s="64"/>
      <c r="G14" s="68">
        <v>1.0</v>
      </c>
      <c r="H14" s="67" t="s">
        <v>117</v>
      </c>
      <c r="I14" s="89" t="s">
        <v>1401</v>
      </c>
      <c r="J14" s="89" t="s">
        <v>1461</v>
      </c>
      <c r="K14" s="89" t="s">
        <v>1462</v>
      </c>
      <c r="L14" s="64"/>
      <c r="M14" s="68">
        <v>1.0</v>
      </c>
      <c r="N14" s="67" t="s">
        <v>118</v>
      </c>
      <c r="O14" s="89" t="s">
        <v>1463</v>
      </c>
      <c r="P14" s="89" t="s">
        <v>1461</v>
      </c>
      <c r="Q14" s="89" t="s">
        <v>1462</v>
      </c>
      <c r="R14" s="64"/>
    </row>
    <row r="15">
      <c r="A15" s="68">
        <v>1.0</v>
      </c>
      <c r="B15" s="67" t="s">
        <v>129</v>
      </c>
      <c r="C15" s="89" t="s">
        <v>1460</v>
      </c>
      <c r="D15" s="89" t="s">
        <v>1461</v>
      </c>
      <c r="E15" s="89" t="s">
        <v>1462</v>
      </c>
      <c r="F15" s="64"/>
      <c r="G15" s="68">
        <v>1.0</v>
      </c>
      <c r="H15" s="67" t="s">
        <v>123</v>
      </c>
      <c r="I15" s="89" t="s">
        <v>1401</v>
      </c>
      <c r="J15" s="89" t="s">
        <v>1461</v>
      </c>
      <c r="K15" s="89" t="s">
        <v>1462</v>
      </c>
      <c r="L15" s="64"/>
      <c r="M15" s="68">
        <v>1.0</v>
      </c>
      <c r="N15" s="67" t="s">
        <v>125</v>
      </c>
      <c r="O15" s="89" t="s">
        <v>1463</v>
      </c>
      <c r="P15" s="89" t="s">
        <v>1461</v>
      </c>
      <c r="Q15" s="89" t="s">
        <v>1462</v>
      </c>
      <c r="R15" s="64"/>
    </row>
    <row r="16">
      <c r="A16" s="68">
        <v>1.0</v>
      </c>
      <c r="B16" s="67" t="s">
        <v>115</v>
      </c>
      <c r="C16" s="89" t="s">
        <v>1460</v>
      </c>
      <c r="D16" s="89" t="s">
        <v>1461</v>
      </c>
      <c r="E16" s="89" t="s">
        <v>1462</v>
      </c>
      <c r="F16" s="64"/>
      <c r="G16" s="68">
        <v>1.0</v>
      </c>
      <c r="H16" s="67" t="s">
        <v>131</v>
      </c>
      <c r="I16" s="89" t="s">
        <v>1401</v>
      </c>
      <c r="J16" s="89" t="s">
        <v>1461</v>
      </c>
      <c r="K16" s="89" t="s">
        <v>1462</v>
      </c>
      <c r="L16" s="64"/>
      <c r="M16" s="68">
        <v>1.0</v>
      </c>
      <c r="N16" s="67" t="s">
        <v>133</v>
      </c>
      <c r="O16" s="89" t="s">
        <v>1463</v>
      </c>
      <c r="P16" s="89" t="s">
        <v>1461</v>
      </c>
      <c r="Q16" s="89" t="s">
        <v>1462</v>
      </c>
      <c r="R16" s="64"/>
    </row>
    <row r="17">
      <c r="A17" s="64"/>
      <c r="B17" s="64"/>
      <c r="C17" s="64"/>
      <c r="D17" s="64"/>
      <c r="E17" s="64"/>
      <c r="F17" s="64"/>
      <c r="G17" s="68">
        <v>1.0</v>
      </c>
      <c r="H17" s="67" t="s">
        <v>137</v>
      </c>
      <c r="I17" s="89" t="s">
        <v>1401</v>
      </c>
      <c r="J17" s="89" t="s">
        <v>1461</v>
      </c>
      <c r="K17" s="89" t="s">
        <v>1462</v>
      </c>
      <c r="L17" s="64"/>
      <c r="M17" s="68">
        <v>1.0</v>
      </c>
      <c r="N17" s="67" t="s">
        <v>139</v>
      </c>
      <c r="O17" s="89" t="s">
        <v>1463</v>
      </c>
      <c r="P17" s="89" t="s">
        <v>1461</v>
      </c>
      <c r="Q17" s="89" t="s">
        <v>1462</v>
      </c>
      <c r="R17" s="64"/>
    </row>
    <row r="18">
      <c r="A18" s="64" t="s">
        <v>143</v>
      </c>
      <c r="C18" s="64"/>
      <c r="D18" s="64"/>
      <c r="E18" s="64"/>
      <c r="F18" s="64"/>
      <c r="G18" s="68">
        <v>1.0</v>
      </c>
      <c r="H18" s="67" t="s">
        <v>144</v>
      </c>
      <c r="I18" s="89" t="s">
        <v>1401</v>
      </c>
      <c r="J18" s="89" t="s">
        <v>1461</v>
      </c>
      <c r="K18" s="89" t="s">
        <v>1462</v>
      </c>
      <c r="L18" s="64"/>
      <c r="M18" s="68">
        <v>1.0</v>
      </c>
      <c r="N18" s="67" t="s">
        <v>146</v>
      </c>
      <c r="O18" s="89" t="s">
        <v>1463</v>
      </c>
      <c r="P18" s="89" t="s">
        <v>1461</v>
      </c>
      <c r="Q18" s="89" t="s">
        <v>1462</v>
      </c>
      <c r="R18" s="64"/>
    </row>
    <row r="19">
      <c r="A19" s="67" t="s">
        <v>45</v>
      </c>
      <c r="B19" s="67" t="s">
        <v>65</v>
      </c>
      <c r="C19" s="65" t="s">
        <v>1457</v>
      </c>
      <c r="D19" s="65" t="s">
        <v>1458</v>
      </c>
      <c r="E19" s="67" t="s">
        <v>1459</v>
      </c>
      <c r="F19" s="64"/>
      <c r="G19" s="68">
        <v>2.0</v>
      </c>
      <c r="H19" s="67" t="s">
        <v>148</v>
      </c>
      <c r="I19" s="89" t="s">
        <v>1401</v>
      </c>
      <c r="J19" s="89" t="s">
        <v>1461</v>
      </c>
      <c r="K19" s="89" t="s">
        <v>1462</v>
      </c>
      <c r="L19" s="64"/>
      <c r="M19" s="68">
        <v>1.0</v>
      </c>
      <c r="N19" s="67" t="s">
        <v>150</v>
      </c>
      <c r="O19" s="89" t="s">
        <v>1463</v>
      </c>
      <c r="P19" s="89" t="s">
        <v>1461</v>
      </c>
      <c r="Q19" s="89" t="s">
        <v>1462</v>
      </c>
      <c r="R19" s="64"/>
    </row>
    <row r="20">
      <c r="A20" s="68">
        <v>1.0</v>
      </c>
      <c r="B20" s="67" t="s">
        <v>154</v>
      </c>
      <c r="C20" s="89" t="s">
        <v>1464</v>
      </c>
      <c r="D20" s="89" t="s">
        <v>1461</v>
      </c>
      <c r="E20" s="89" t="s">
        <v>1462</v>
      </c>
      <c r="F20" s="64"/>
      <c r="G20" s="68">
        <v>1.0</v>
      </c>
      <c r="H20" s="67" t="s">
        <v>156</v>
      </c>
      <c r="I20" s="89" t="s">
        <v>1401</v>
      </c>
      <c r="J20" s="89" t="s">
        <v>1461</v>
      </c>
      <c r="K20" s="89" t="s">
        <v>1462</v>
      </c>
      <c r="L20" s="64"/>
      <c r="M20" s="68">
        <v>1.0</v>
      </c>
      <c r="N20" s="67" t="s">
        <v>158</v>
      </c>
      <c r="O20" s="89" t="s">
        <v>1463</v>
      </c>
      <c r="P20" s="89" t="s">
        <v>1461</v>
      </c>
      <c r="Q20" s="89" t="s">
        <v>1462</v>
      </c>
      <c r="R20" s="64"/>
    </row>
    <row r="21">
      <c r="A21" s="68">
        <v>1.0</v>
      </c>
      <c r="B21" s="67" t="s">
        <v>160</v>
      </c>
      <c r="C21" s="89" t="s">
        <v>1464</v>
      </c>
      <c r="D21" s="89" t="s">
        <v>1461</v>
      </c>
      <c r="E21" s="89" t="s">
        <v>1462</v>
      </c>
      <c r="F21" s="64"/>
      <c r="G21" s="68">
        <v>4.0</v>
      </c>
      <c r="H21" s="67" t="s">
        <v>162</v>
      </c>
      <c r="I21" s="89" t="s">
        <v>1401</v>
      </c>
      <c r="J21" s="89" t="s">
        <v>1461</v>
      </c>
      <c r="K21" s="89" t="s">
        <v>1462</v>
      </c>
      <c r="L21" s="64"/>
      <c r="M21" s="64"/>
      <c r="N21" s="64"/>
      <c r="O21" s="64"/>
      <c r="P21" s="64"/>
      <c r="Q21" s="64"/>
      <c r="R21" s="64"/>
    </row>
    <row r="22">
      <c r="A22" s="68">
        <v>1.0</v>
      </c>
      <c r="B22" s="67" t="s">
        <v>165</v>
      </c>
      <c r="C22" s="89" t="s">
        <v>1464</v>
      </c>
      <c r="D22" s="89" t="s">
        <v>1461</v>
      </c>
      <c r="E22" s="89" t="s">
        <v>1462</v>
      </c>
      <c r="F22" s="64"/>
      <c r="G22" s="68">
        <v>2.0</v>
      </c>
      <c r="H22" s="67" t="s">
        <v>167</v>
      </c>
      <c r="I22" s="89" t="s">
        <v>1401</v>
      </c>
      <c r="J22" s="89" t="s">
        <v>1461</v>
      </c>
      <c r="K22" s="89" t="s">
        <v>1462</v>
      </c>
      <c r="L22" s="64"/>
      <c r="M22" s="64"/>
      <c r="N22" s="64"/>
      <c r="O22" s="64"/>
      <c r="P22" s="64"/>
      <c r="Q22" s="64"/>
      <c r="R22" s="64"/>
    </row>
    <row r="23">
      <c r="A23" s="68">
        <v>1.0</v>
      </c>
      <c r="B23" s="67" t="s">
        <v>172</v>
      </c>
      <c r="C23" s="89" t="s">
        <v>1464</v>
      </c>
      <c r="D23" s="89" t="s">
        <v>1461</v>
      </c>
      <c r="E23" s="89" t="s">
        <v>1462</v>
      </c>
      <c r="F23" s="64"/>
      <c r="G23" s="68">
        <v>1.0</v>
      </c>
      <c r="H23" s="67" t="s">
        <v>174</v>
      </c>
      <c r="I23" s="89" t="s">
        <v>1401</v>
      </c>
      <c r="J23" s="89" t="s">
        <v>1461</v>
      </c>
      <c r="K23" s="89" t="s">
        <v>1462</v>
      </c>
      <c r="L23" s="64"/>
      <c r="M23" s="64" t="s">
        <v>176</v>
      </c>
      <c r="O23" s="64"/>
      <c r="P23" s="64"/>
      <c r="Q23" s="64"/>
      <c r="R23" s="64"/>
    </row>
    <row r="24">
      <c r="A24" s="68">
        <v>1.0</v>
      </c>
      <c r="B24" s="67" t="s">
        <v>180</v>
      </c>
      <c r="C24" s="89" t="s">
        <v>1464</v>
      </c>
      <c r="D24" s="89" t="s">
        <v>1461</v>
      </c>
      <c r="E24" s="89" t="s">
        <v>1462</v>
      </c>
      <c r="F24" s="64"/>
      <c r="G24" s="68">
        <v>1.0</v>
      </c>
      <c r="H24" s="67" t="s">
        <v>182</v>
      </c>
      <c r="I24" s="89" t="s">
        <v>1401</v>
      </c>
      <c r="J24" s="89" t="s">
        <v>1461</v>
      </c>
      <c r="K24" s="89" t="s">
        <v>1462</v>
      </c>
      <c r="L24" s="64"/>
      <c r="M24" s="67" t="s">
        <v>45</v>
      </c>
      <c r="N24" s="67" t="s">
        <v>68</v>
      </c>
      <c r="O24" s="65" t="s">
        <v>1457</v>
      </c>
      <c r="P24" s="65" t="s">
        <v>1458</v>
      </c>
      <c r="Q24" s="67" t="s">
        <v>1459</v>
      </c>
      <c r="R24" s="64"/>
    </row>
    <row r="25">
      <c r="A25" s="68">
        <v>1.0</v>
      </c>
      <c r="B25" s="67" t="s">
        <v>187</v>
      </c>
      <c r="C25" s="89" t="s">
        <v>1464</v>
      </c>
      <c r="D25" s="89" t="s">
        <v>1461</v>
      </c>
      <c r="E25" s="89" t="s">
        <v>1462</v>
      </c>
      <c r="F25" s="64"/>
      <c r="G25" s="68">
        <v>1.0</v>
      </c>
      <c r="H25" s="67" t="s">
        <v>189</v>
      </c>
      <c r="I25" s="89" t="s">
        <v>1401</v>
      </c>
      <c r="J25" s="89" t="s">
        <v>1461</v>
      </c>
      <c r="K25" s="89" t="s">
        <v>1462</v>
      </c>
      <c r="L25" s="64"/>
      <c r="M25" s="68">
        <v>1.0</v>
      </c>
      <c r="N25" s="67" t="s">
        <v>191</v>
      </c>
      <c r="O25" s="89" t="s">
        <v>1463</v>
      </c>
      <c r="P25" s="89" t="s">
        <v>1461</v>
      </c>
      <c r="Q25" s="89" t="s">
        <v>1462</v>
      </c>
      <c r="R25" s="64"/>
    </row>
    <row r="26">
      <c r="A26" s="68">
        <v>1.0</v>
      </c>
      <c r="B26" s="67" t="s">
        <v>195</v>
      </c>
      <c r="C26" s="89" t="s">
        <v>1464</v>
      </c>
      <c r="D26" s="89" t="s">
        <v>1461</v>
      </c>
      <c r="E26" s="89" t="s">
        <v>1462</v>
      </c>
      <c r="F26" s="64"/>
      <c r="G26" s="68">
        <v>1.0</v>
      </c>
      <c r="H26" s="67" t="s">
        <v>196</v>
      </c>
      <c r="I26" s="89" t="s">
        <v>1401</v>
      </c>
      <c r="J26" s="89" t="s">
        <v>1461</v>
      </c>
      <c r="K26" s="89" t="s">
        <v>1462</v>
      </c>
      <c r="L26" s="64"/>
      <c r="M26" s="68">
        <v>1.0</v>
      </c>
      <c r="N26" s="67" t="s">
        <v>198</v>
      </c>
      <c r="O26" s="89" t="s">
        <v>1463</v>
      </c>
      <c r="P26" s="89" t="s">
        <v>1461</v>
      </c>
      <c r="Q26" s="89" t="s">
        <v>1462</v>
      </c>
      <c r="R26" s="64"/>
    </row>
    <row r="27">
      <c r="A27" s="68">
        <v>1.0</v>
      </c>
      <c r="B27" s="67" t="s">
        <v>202</v>
      </c>
      <c r="C27" s="89" t="s">
        <v>1464</v>
      </c>
      <c r="D27" s="89" t="s">
        <v>1461</v>
      </c>
      <c r="E27" s="89" t="s">
        <v>1462</v>
      </c>
      <c r="F27" s="64"/>
      <c r="G27" s="68">
        <v>1.0</v>
      </c>
      <c r="H27" s="67" t="s">
        <v>203</v>
      </c>
      <c r="I27" s="89" t="s">
        <v>1401</v>
      </c>
      <c r="J27" s="89" t="s">
        <v>1461</v>
      </c>
      <c r="K27" s="89" t="s">
        <v>1462</v>
      </c>
      <c r="L27" s="64"/>
      <c r="M27" s="68">
        <v>1.0</v>
      </c>
      <c r="N27" s="67" t="s">
        <v>205</v>
      </c>
      <c r="O27" s="89" t="s">
        <v>1463</v>
      </c>
      <c r="P27" s="89" t="s">
        <v>1461</v>
      </c>
      <c r="Q27" s="89" t="s">
        <v>1462</v>
      </c>
      <c r="R27" s="64"/>
    </row>
    <row r="28">
      <c r="A28" s="68">
        <v>1.0</v>
      </c>
      <c r="B28" s="67" t="s">
        <v>209</v>
      </c>
      <c r="C28" s="89" t="s">
        <v>1464</v>
      </c>
      <c r="D28" s="89" t="s">
        <v>1461</v>
      </c>
      <c r="E28" s="89" t="s">
        <v>1462</v>
      </c>
      <c r="F28" s="64"/>
      <c r="G28" s="68">
        <v>1.0</v>
      </c>
      <c r="H28" s="67" t="s">
        <v>211</v>
      </c>
      <c r="I28" s="89" t="s">
        <v>1401</v>
      </c>
      <c r="J28" s="89" t="s">
        <v>1461</v>
      </c>
      <c r="K28" s="89" t="s">
        <v>1462</v>
      </c>
      <c r="L28" s="64"/>
      <c r="M28" s="68">
        <v>1.0</v>
      </c>
      <c r="N28" s="67" t="s">
        <v>213</v>
      </c>
      <c r="O28" s="89" t="s">
        <v>1463</v>
      </c>
      <c r="P28" s="89" t="s">
        <v>1461</v>
      </c>
      <c r="Q28" s="89" t="s">
        <v>1462</v>
      </c>
      <c r="R28" s="64"/>
    </row>
    <row r="29">
      <c r="A29" s="68">
        <v>2.0</v>
      </c>
      <c r="B29" s="67" t="s">
        <v>217</v>
      </c>
      <c r="C29" s="89" t="s">
        <v>1464</v>
      </c>
      <c r="D29" s="89" t="s">
        <v>1461</v>
      </c>
      <c r="E29" s="89" t="s">
        <v>1462</v>
      </c>
      <c r="F29" s="64"/>
      <c r="G29" s="68">
        <v>1.0</v>
      </c>
      <c r="H29" s="67" t="s">
        <v>218</v>
      </c>
      <c r="I29" s="89" t="s">
        <v>1401</v>
      </c>
      <c r="J29" s="89" t="s">
        <v>1461</v>
      </c>
      <c r="K29" s="89" t="s">
        <v>1462</v>
      </c>
      <c r="L29" s="64"/>
      <c r="M29" s="68">
        <v>1.0</v>
      </c>
      <c r="N29" s="67" t="s">
        <v>219</v>
      </c>
      <c r="O29" s="89" t="s">
        <v>1463</v>
      </c>
      <c r="P29" s="89" t="s">
        <v>1461</v>
      </c>
      <c r="Q29" s="89" t="s">
        <v>1462</v>
      </c>
      <c r="R29" s="64"/>
    </row>
    <row r="30">
      <c r="A30" s="106">
        <v>2.0</v>
      </c>
      <c r="B30" s="107" t="s">
        <v>221</v>
      </c>
      <c r="C30" s="108" t="s">
        <v>1464</v>
      </c>
      <c r="D30" s="108" t="s">
        <v>1461</v>
      </c>
      <c r="E30" s="108" t="s">
        <v>1462</v>
      </c>
      <c r="F30" s="109"/>
      <c r="G30" s="106">
        <v>1.0</v>
      </c>
      <c r="H30" s="107" t="s">
        <v>222</v>
      </c>
      <c r="I30" s="89" t="s">
        <v>1401</v>
      </c>
      <c r="J30" s="89" t="s">
        <v>1461</v>
      </c>
      <c r="K30" s="89" t="s">
        <v>1462</v>
      </c>
      <c r="L30" s="109"/>
      <c r="M30" s="106">
        <v>1.0</v>
      </c>
      <c r="N30" s="107" t="s">
        <v>224</v>
      </c>
      <c r="O30" s="89" t="s">
        <v>1463</v>
      </c>
      <c r="P30" s="89" t="s">
        <v>1461</v>
      </c>
      <c r="Q30" s="89" t="s">
        <v>1462</v>
      </c>
      <c r="R30" s="109"/>
    </row>
    <row r="31">
      <c r="A31" s="106">
        <v>2.0</v>
      </c>
      <c r="B31" s="107" t="s">
        <v>226</v>
      </c>
      <c r="C31" s="108" t="s">
        <v>1464</v>
      </c>
      <c r="D31" s="108" t="s">
        <v>1461</v>
      </c>
      <c r="E31" s="108" t="s">
        <v>1462</v>
      </c>
      <c r="F31" s="109"/>
      <c r="G31" s="106">
        <v>1.0</v>
      </c>
      <c r="H31" s="107" t="s">
        <v>228</v>
      </c>
      <c r="I31" s="89" t="s">
        <v>1401</v>
      </c>
      <c r="J31" s="89" t="s">
        <v>1461</v>
      </c>
      <c r="K31" s="89" t="s">
        <v>1462</v>
      </c>
      <c r="L31" s="109"/>
      <c r="M31" s="106">
        <v>1.0</v>
      </c>
      <c r="N31" s="107" t="s">
        <v>230</v>
      </c>
      <c r="O31" s="89" t="s">
        <v>1463</v>
      </c>
      <c r="P31" s="89" t="s">
        <v>1461</v>
      </c>
      <c r="Q31" s="89" t="s">
        <v>1462</v>
      </c>
      <c r="R31" s="109"/>
    </row>
    <row r="32">
      <c r="A32" s="68">
        <v>2.0</v>
      </c>
      <c r="B32" s="67" t="s">
        <v>234</v>
      </c>
      <c r="C32" s="89" t="s">
        <v>1464</v>
      </c>
      <c r="D32" s="89" t="s">
        <v>1461</v>
      </c>
      <c r="E32" s="89" t="s">
        <v>1462</v>
      </c>
      <c r="F32" s="64"/>
      <c r="G32" s="68">
        <v>1.0</v>
      </c>
      <c r="H32" s="67" t="s">
        <v>235</v>
      </c>
      <c r="I32" s="89" t="s">
        <v>1401</v>
      </c>
      <c r="J32" s="89" t="s">
        <v>1461</v>
      </c>
      <c r="K32" s="89" t="s">
        <v>1462</v>
      </c>
      <c r="L32" s="64"/>
      <c r="M32" s="68">
        <v>1.0</v>
      </c>
      <c r="N32" s="67" t="s">
        <v>237</v>
      </c>
      <c r="O32" s="89" t="s">
        <v>1463</v>
      </c>
      <c r="P32" s="89" t="s">
        <v>1461</v>
      </c>
      <c r="Q32" s="89" t="s">
        <v>1462</v>
      </c>
      <c r="R32" s="64"/>
    </row>
    <row r="33">
      <c r="A33" s="68">
        <v>2.0</v>
      </c>
      <c r="B33" s="67" t="s">
        <v>241</v>
      </c>
      <c r="C33" s="89" t="s">
        <v>1464</v>
      </c>
      <c r="D33" s="89" t="s">
        <v>1461</v>
      </c>
      <c r="E33" s="89" t="s">
        <v>1462</v>
      </c>
      <c r="F33" s="64"/>
      <c r="G33" s="68">
        <v>1.0</v>
      </c>
      <c r="H33" s="67" t="s">
        <v>242</v>
      </c>
      <c r="I33" s="89" t="s">
        <v>1401</v>
      </c>
      <c r="J33" s="89" t="s">
        <v>1461</v>
      </c>
      <c r="K33" s="89" t="s">
        <v>1462</v>
      </c>
      <c r="L33" s="64"/>
      <c r="M33" s="68">
        <v>1.0</v>
      </c>
      <c r="N33" s="67" t="s">
        <v>244</v>
      </c>
      <c r="O33" s="89" t="s">
        <v>1463</v>
      </c>
      <c r="P33" s="89" t="s">
        <v>1461</v>
      </c>
      <c r="Q33" s="89" t="s">
        <v>1462</v>
      </c>
      <c r="R33" s="64"/>
    </row>
    <row r="34">
      <c r="A34" s="68">
        <v>2.0</v>
      </c>
      <c r="B34" s="67" t="s">
        <v>248</v>
      </c>
      <c r="C34" s="89" t="s">
        <v>1464</v>
      </c>
      <c r="D34" s="89" t="s">
        <v>1461</v>
      </c>
      <c r="E34" s="89" t="s">
        <v>1462</v>
      </c>
      <c r="F34" s="64"/>
      <c r="G34" s="64"/>
      <c r="H34" s="64"/>
      <c r="I34" s="64"/>
      <c r="J34" s="64"/>
      <c r="K34" s="64"/>
      <c r="L34" s="64"/>
      <c r="M34" s="68">
        <v>1.0</v>
      </c>
      <c r="N34" s="67" t="s">
        <v>249</v>
      </c>
      <c r="O34" s="89" t="s">
        <v>1463</v>
      </c>
      <c r="P34" s="89" t="s">
        <v>1461</v>
      </c>
      <c r="Q34" s="89" t="s">
        <v>1462</v>
      </c>
      <c r="R34" s="64"/>
    </row>
    <row r="35">
      <c r="A35" s="68">
        <v>1.0</v>
      </c>
      <c r="B35" s="67" t="s">
        <v>253</v>
      </c>
      <c r="C35" s="89" t="s">
        <v>1464</v>
      </c>
      <c r="D35" s="89" t="s">
        <v>1461</v>
      </c>
      <c r="E35" s="89" t="s">
        <v>1462</v>
      </c>
      <c r="F35" s="64"/>
      <c r="G35" s="64"/>
      <c r="H35" s="64"/>
      <c r="I35" s="64"/>
      <c r="J35" s="64"/>
      <c r="K35" s="64"/>
      <c r="L35" s="64"/>
      <c r="M35" s="68">
        <v>1.0</v>
      </c>
      <c r="N35" s="67" t="s">
        <v>254</v>
      </c>
      <c r="O35" s="89" t="s">
        <v>1463</v>
      </c>
      <c r="P35" s="89" t="s">
        <v>1461</v>
      </c>
      <c r="Q35" s="89" t="s">
        <v>1462</v>
      </c>
      <c r="R35" s="64"/>
    </row>
    <row r="36">
      <c r="A36" s="106">
        <v>1.0</v>
      </c>
      <c r="B36" s="107" t="s">
        <v>256</v>
      </c>
      <c r="C36" s="108" t="s">
        <v>1464</v>
      </c>
      <c r="D36" s="108" t="s">
        <v>1461</v>
      </c>
      <c r="E36" s="108" t="s">
        <v>1462</v>
      </c>
      <c r="F36" s="109"/>
      <c r="G36" s="109" t="s">
        <v>257</v>
      </c>
      <c r="I36" s="109"/>
      <c r="J36" s="109"/>
      <c r="K36" s="109"/>
      <c r="L36" s="109"/>
      <c r="M36" s="106">
        <v>1.0</v>
      </c>
      <c r="N36" s="107" t="s">
        <v>258</v>
      </c>
      <c r="O36" s="89" t="s">
        <v>1463</v>
      </c>
      <c r="P36" s="89" t="s">
        <v>1461</v>
      </c>
      <c r="Q36" s="89" t="s">
        <v>1462</v>
      </c>
      <c r="R36" s="109"/>
    </row>
    <row r="37">
      <c r="A37" s="68">
        <v>1.0</v>
      </c>
      <c r="B37" s="67" t="s">
        <v>262</v>
      </c>
      <c r="C37" s="89" t="s">
        <v>1464</v>
      </c>
      <c r="D37" s="89" t="s">
        <v>1461</v>
      </c>
      <c r="E37" s="89" t="s">
        <v>1462</v>
      </c>
      <c r="F37" s="64"/>
      <c r="G37" s="67" t="s">
        <v>45</v>
      </c>
      <c r="H37" s="67" t="s">
        <v>68</v>
      </c>
      <c r="I37" s="65" t="s">
        <v>1457</v>
      </c>
      <c r="J37" s="65" t="s">
        <v>1458</v>
      </c>
      <c r="K37" s="67" t="s">
        <v>1459</v>
      </c>
      <c r="L37" s="64"/>
      <c r="M37" s="68">
        <v>1.0</v>
      </c>
      <c r="N37" s="67" t="s">
        <v>263</v>
      </c>
      <c r="O37" s="89" t="s">
        <v>1463</v>
      </c>
      <c r="P37" s="89" t="s">
        <v>1461</v>
      </c>
      <c r="Q37" s="89" t="s">
        <v>1462</v>
      </c>
      <c r="R37" s="64"/>
    </row>
    <row r="38">
      <c r="A38" s="64"/>
      <c r="B38" s="64"/>
      <c r="C38" s="64"/>
      <c r="D38" s="64"/>
      <c r="E38" s="64"/>
      <c r="F38" s="64"/>
      <c r="G38" s="68">
        <v>5.0</v>
      </c>
      <c r="H38" s="67" t="s">
        <v>267</v>
      </c>
      <c r="I38" s="89" t="s">
        <v>1460</v>
      </c>
      <c r="J38" s="89" t="s">
        <v>1461</v>
      </c>
      <c r="K38" s="89" t="s">
        <v>1462</v>
      </c>
      <c r="L38" s="64"/>
      <c r="M38" s="68">
        <v>1.0</v>
      </c>
      <c r="N38" s="67" t="s">
        <v>268</v>
      </c>
      <c r="O38" s="89" t="s">
        <v>1463</v>
      </c>
      <c r="P38" s="89" t="s">
        <v>1461</v>
      </c>
      <c r="Q38" s="89" t="s">
        <v>1462</v>
      </c>
      <c r="R38" s="64"/>
    </row>
    <row r="39">
      <c r="A39" s="64" t="s">
        <v>270</v>
      </c>
      <c r="C39" s="64"/>
      <c r="D39" s="64"/>
      <c r="E39" s="64"/>
      <c r="F39" s="64"/>
      <c r="G39" s="68">
        <v>4.0</v>
      </c>
      <c r="H39" s="67" t="s">
        <v>267</v>
      </c>
      <c r="I39" s="89" t="s">
        <v>1460</v>
      </c>
      <c r="J39" s="89" t="s">
        <v>1461</v>
      </c>
      <c r="K39" s="89" t="s">
        <v>1462</v>
      </c>
      <c r="L39" s="64"/>
      <c r="M39" s="68">
        <v>1.0</v>
      </c>
      <c r="N39" s="67" t="s">
        <v>271</v>
      </c>
      <c r="O39" s="89" t="s">
        <v>1463</v>
      </c>
      <c r="P39" s="89" t="s">
        <v>1461</v>
      </c>
      <c r="Q39" s="89" t="s">
        <v>1462</v>
      </c>
      <c r="R39" s="64"/>
    </row>
    <row r="40">
      <c r="A40" s="67" t="s">
        <v>45</v>
      </c>
      <c r="B40" s="67" t="s">
        <v>68</v>
      </c>
      <c r="C40" s="65" t="s">
        <v>1457</v>
      </c>
      <c r="D40" s="65" t="s">
        <v>1458</v>
      </c>
      <c r="E40" s="67" t="s">
        <v>1459</v>
      </c>
      <c r="F40" s="64"/>
      <c r="G40" s="68">
        <v>13.0</v>
      </c>
      <c r="H40" s="67" t="s">
        <v>275</v>
      </c>
      <c r="I40" s="89" t="s">
        <v>1460</v>
      </c>
      <c r="J40" s="89" t="s">
        <v>1461</v>
      </c>
      <c r="K40" s="89" t="s">
        <v>1462</v>
      </c>
      <c r="L40" s="64"/>
      <c r="M40" s="68">
        <v>1.0</v>
      </c>
      <c r="N40" s="67" t="s">
        <v>276</v>
      </c>
      <c r="O40" s="89" t="s">
        <v>1463</v>
      </c>
      <c r="P40" s="89" t="s">
        <v>1461</v>
      </c>
      <c r="Q40" s="89" t="s">
        <v>1462</v>
      </c>
      <c r="R40" s="64"/>
    </row>
    <row r="41">
      <c r="A41" s="68">
        <v>4.0</v>
      </c>
      <c r="B41" s="67" t="s">
        <v>280</v>
      </c>
      <c r="C41" s="89" t="s">
        <v>1401</v>
      </c>
      <c r="D41" s="89" t="s">
        <v>1461</v>
      </c>
      <c r="E41" s="89" t="s">
        <v>1462</v>
      </c>
      <c r="F41" s="64"/>
      <c r="G41" s="68">
        <v>17.0</v>
      </c>
      <c r="H41" s="67" t="s">
        <v>267</v>
      </c>
      <c r="I41" s="89" t="s">
        <v>1460</v>
      </c>
      <c r="J41" s="89" t="s">
        <v>1461</v>
      </c>
      <c r="K41" s="89" t="s">
        <v>1462</v>
      </c>
      <c r="L41" s="64"/>
      <c r="M41" s="68">
        <v>1.0</v>
      </c>
      <c r="N41" s="67" t="s">
        <v>281</v>
      </c>
      <c r="O41" s="89" t="s">
        <v>1463</v>
      </c>
      <c r="P41" s="89" t="s">
        <v>1461</v>
      </c>
      <c r="Q41" s="89" t="s">
        <v>1462</v>
      </c>
      <c r="R41" s="64"/>
    </row>
    <row r="42">
      <c r="A42" s="68">
        <v>84.0</v>
      </c>
      <c r="B42" s="67" t="s">
        <v>280</v>
      </c>
      <c r="C42" s="89" t="s">
        <v>1401</v>
      </c>
      <c r="D42" s="89" t="s">
        <v>1461</v>
      </c>
      <c r="E42" s="89" t="s">
        <v>1462</v>
      </c>
      <c r="F42" s="64"/>
      <c r="G42" s="68">
        <v>7.0</v>
      </c>
      <c r="H42" s="67" t="s">
        <v>275</v>
      </c>
      <c r="I42" s="89" t="s">
        <v>1460</v>
      </c>
      <c r="J42" s="89" t="s">
        <v>1461</v>
      </c>
      <c r="K42" s="89" t="s">
        <v>1462</v>
      </c>
      <c r="L42" s="64"/>
      <c r="M42" s="68">
        <v>1.0</v>
      </c>
      <c r="N42" s="67" t="s">
        <v>283</v>
      </c>
      <c r="O42" s="89" t="s">
        <v>1463</v>
      </c>
      <c r="P42" s="89" t="s">
        <v>1461</v>
      </c>
      <c r="Q42" s="89" t="s">
        <v>1462</v>
      </c>
      <c r="R42" s="64"/>
    </row>
    <row r="43">
      <c r="A43" s="68">
        <v>1.0</v>
      </c>
      <c r="B43" s="67" t="s">
        <v>280</v>
      </c>
      <c r="C43" s="89" t="s">
        <v>1401</v>
      </c>
      <c r="D43" s="89" t="s">
        <v>1461</v>
      </c>
      <c r="E43" s="89" t="s">
        <v>1462</v>
      </c>
      <c r="F43" s="64"/>
      <c r="G43" s="68">
        <v>2.0</v>
      </c>
      <c r="H43" s="67" t="s">
        <v>286</v>
      </c>
      <c r="I43" s="89" t="s">
        <v>1460</v>
      </c>
      <c r="J43" s="89" t="s">
        <v>1461</v>
      </c>
      <c r="K43" s="89" t="s">
        <v>1462</v>
      </c>
      <c r="L43" s="64"/>
      <c r="M43" s="68">
        <v>1.0</v>
      </c>
      <c r="N43" s="67" t="s">
        <v>287</v>
      </c>
      <c r="O43" s="89" t="s">
        <v>1463</v>
      </c>
      <c r="P43" s="89" t="s">
        <v>1461</v>
      </c>
      <c r="Q43" s="89" t="s">
        <v>1462</v>
      </c>
      <c r="R43" s="64"/>
    </row>
    <row r="44">
      <c r="A44" s="68">
        <v>1.0</v>
      </c>
      <c r="B44" s="67" t="s">
        <v>291</v>
      </c>
      <c r="C44" s="89" t="s">
        <v>1401</v>
      </c>
      <c r="D44" s="89" t="s">
        <v>1461</v>
      </c>
      <c r="E44" s="89" t="s">
        <v>1462</v>
      </c>
      <c r="F44" s="64"/>
      <c r="G44" s="68">
        <v>13.0</v>
      </c>
      <c r="H44" s="67" t="s">
        <v>275</v>
      </c>
      <c r="I44" s="89" t="s">
        <v>1460</v>
      </c>
      <c r="J44" s="89" t="s">
        <v>1461</v>
      </c>
      <c r="K44" s="89" t="s">
        <v>1462</v>
      </c>
      <c r="L44" s="64"/>
      <c r="M44" s="68">
        <v>1.0</v>
      </c>
      <c r="N44" s="67" t="s">
        <v>293</v>
      </c>
      <c r="O44" s="89" t="s">
        <v>1463</v>
      </c>
      <c r="P44" s="89" t="s">
        <v>1461</v>
      </c>
      <c r="Q44" s="89" t="s">
        <v>1462</v>
      </c>
      <c r="R44" s="64"/>
    </row>
    <row r="45">
      <c r="A45" s="68">
        <v>43.0</v>
      </c>
      <c r="B45" s="67" t="s">
        <v>291</v>
      </c>
      <c r="C45" s="89" t="s">
        <v>1401</v>
      </c>
      <c r="D45" s="89" t="s">
        <v>1461</v>
      </c>
      <c r="E45" s="89" t="s">
        <v>1462</v>
      </c>
      <c r="F45" s="64"/>
      <c r="G45" s="68">
        <v>13.0</v>
      </c>
      <c r="H45" s="67" t="s">
        <v>267</v>
      </c>
      <c r="I45" s="89" t="s">
        <v>1460</v>
      </c>
      <c r="J45" s="89" t="s">
        <v>1461</v>
      </c>
      <c r="K45" s="89" t="s">
        <v>1462</v>
      </c>
      <c r="L45" s="64"/>
      <c r="M45" s="68">
        <v>1.0</v>
      </c>
      <c r="N45" s="67" t="s">
        <v>297</v>
      </c>
      <c r="O45" s="89" t="s">
        <v>1463</v>
      </c>
      <c r="P45" s="89" t="s">
        <v>1461</v>
      </c>
      <c r="Q45" s="89" t="s">
        <v>1462</v>
      </c>
      <c r="R45" s="64"/>
    </row>
    <row r="46">
      <c r="A46" s="68">
        <v>8.0</v>
      </c>
      <c r="B46" s="67" t="s">
        <v>301</v>
      </c>
      <c r="C46" s="89" t="s">
        <v>1401</v>
      </c>
      <c r="D46" s="89" t="s">
        <v>1461</v>
      </c>
      <c r="E46" s="89" t="s">
        <v>1462</v>
      </c>
      <c r="F46" s="64"/>
      <c r="G46" s="68">
        <v>2.0</v>
      </c>
      <c r="H46" s="67" t="s">
        <v>275</v>
      </c>
      <c r="I46" s="89" t="s">
        <v>1460</v>
      </c>
      <c r="J46" s="89" t="s">
        <v>1461</v>
      </c>
      <c r="K46" s="89" t="s">
        <v>1462</v>
      </c>
      <c r="L46" s="64"/>
      <c r="M46" s="68">
        <v>1.0</v>
      </c>
      <c r="N46" s="67" t="s">
        <v>303</v>
      </c>
      <c r="O46" s="89" t="s">
        <v>1463</v>
      </c>
      <c r="P46" s="89" t="s">
        <v>1461</v>
      </c>
      <c r="Q46" s="89" t="s">
        <v>1462</v>
      </c>
      <c r="R46" s="64"/>
    </row>
    <row r="47">
      <c r="A47" s="68">
        <v>1.0</v>
      </c>
      <c r="B47" s="67" t="s">
        <v>307</v>
      </c>
      <c r="C47" s="89" t="s">
        <v>1401</v>
      </c>
      <c r="D47" s="89" t="s">
        <v>1461</v>
      </c>
      <c r="E47" s="89" t="s">
        <v>1462</v>
      </c>
      <c r="F47" s="64"/>
      <c r="G47" s="68">
        <v>3.0</v>
      </c>
      <c r="H47" s="67" t="s">
        <v>309</v>
      </c>
      <c r="I47" s="89" t="s">
        <v>1460</v>
      </c>
      <c r="J47" s="89" t="s">
        <v>1461</v>
      </c>
      <c r="K47" s="89" t="s">
        <v>1462</v>
      </c>
      <c r="L47" s="64"/>
      <c r="M47" s="68">
        <v>1.0</v>
      </c>
      <c r="N47" s="67" t="s">
        <v>311</v>
      </c>
      <c r="O47" s="89" t="s">
        <v>1463</v>
      </c>
      <c r="P47" s="89" t="s">
        <v>1461</v>
      </c>
      <c r="Q47" s="89" t="s">
        <v>1462</v>
      </c>
      <c r="R47" s="64"/>
    </row>
    <row r="48">
      <c r="A48" s="68">
        <v>1.0</v>
      </c>
      <c r="B48" s="67" t="s">
        <v>309</v>
      </c>
      <c r="C48" s="89" t="s">
        <v>1401</v>
      </c>
      <c r="D48" s="89" t="s">
        <v>1461</v>
      </c>
      <c r="E48" s="89" t="s">
        <v>1462</v>
      </c>
      <c r="F48" s="64"/>
      <c r="G48" s="64"/>
      <c r="H48" s="64"/>
      <c r="I48" s="64"/>
      <c r="J48" s="64"/>
      <c r="K48" s="71"/>
      <c r="L48" s="64"/>
      <c r="M48" s="68">
        <v>1.0</v>
      </c>
      <c r="N48" s="67" t="s">
        <v>316</v>
      </c>
      <c r="O48" s="89" t="s">
        <v>1463</v>
      </c>
      <c r="P48" s="89" t="s">
        <v>1461</v>
      </c>
      <c r="Q48" s="89" t="s">
        <v>1462</v>
      </c>
      <c r="R48" s="64"/>
    </row>
    <row r="49">
      <c r="A49" s="68">
        <v>1.0</v>
      </c>
      <c r="B49" s="67" t="s">
        <v>307</v>
      </c>
      <c r="C49" s="89" t="s">
        <v>1401</v>
      </c>
      <c r="D49" s="89" t="s">
        <v>1461</v>
      </c>
      <c r="E49" s="89" t="s">
        <v>1462</v>
      </c>
      <c r="F49" s="64"/>
      <c r="G49" s="64"/>
      <c r="H49" s="64"/>
      <c r="I49" s="64"/>
      <c r="J49" s="64"/>
      <c r="K49" s="64"/>
      <c r="L49" s="64"/>
      <c r="M49" s="68">
        <v>1.0</v>
      </c>
      <c r="N49" s="67" t="s">
        <v>319</v>
      </c>
      <c r="O49" s="89" t="s">
        <v>1463</v>
      </c>
      <c r="P49" s="89" t="s">
        <v>1461</v>
      </c>
      <c r="Q49" s="89" t="s">
        <v>1462</v>
      </c>
      <c r="R49" s="64"/>
    </row>
    <row r="50">
      <c r="A50" s="68">
        <v>1.0</v>
      </c>
      <c r="B50" s="67" t="s">
        <v>309</v>
      </c>
      <c r="C50" s="89" t="s">
        <v>1401</v>
      </c>
      <c r="D50" s="89" t="s">
        <v>1461</v>
      </c>
      <c r="E50" s="89" t="s">
        <v>1462</v>
      </c>
      <c r="F50" s="64"/>
      <c r="G50" s="64"/>
      <c r="H50" s="64"/>
      <c r="I50" s="64"/>
      <c r="J50" s="64"/>
      <c r="K50" s="64"/>
      <c r="L50" s="64"/>
      <c r="M50" s="68">
        <v>1.0</v>
      </c>
      <c r="N50" s="67" t="s">
        <v>324</v>
      </c>
      <c r="O50" s="89" t="s">
        <v>1463</v>
      </c>
      <c r="P50" s="89" t="s">
        <v>1461</v>
      </c>
      <c r="Q50" s="89" t="s">
        <v>1462</v>
      </c>
      <c r="R50" s="64"/>
    </row>
    <row r="51">
      <c r="A51" s="68">
        <v>1.0</v>
      </c>
      <c r="B51" s="67" t="s">
        <v>307</v>
      </c>
      <c r="C51" s="89" t="s">
        <v>1401</v>
      </c>
      <c r="D51" s="89" t="s">
        <v>1461</v>
      </c>
      <c r="E51" s="89" t="s">
        <v>1462</v>
      </c>
      <c r="F51" s="64"/>
      <c r="G51" s="64" t="s">
        <v>329</v>
      </c>
      <c r="I51" s="64"/>
      <c r="J51" s="64"/>
      <c r="K51" s="64"/>
      <c r="L51" s="64"/>
      <c r="M51" s="68">
        <v>1.0</v>
      </c>
      <c r="N51" s="67" t="s">
        <v>330</v>
      </c>
      <c r="O51" s="89" t="s">
        <v>1463</v>
      </c>
      <c r="P51" s="89" t="s">
        <v>1461</v>
      </c>
      <c r="Q51" s="89" t="s">
        <v>1462</v>
      </c>
      <c r="R51" s="64"/>
    </row>
    <row r="52">
      <c r="A52" s="106">
        <v>2.0</v>
      </c>
      <c r="B52" s="107" t="s">
        <v>332</v>
      </c>
      <c r="C52" s="89" t="s">
        <v>1401</v>
      </c>
      <c r="D52" s="89" t="s">
        <v>1461</v>
      </c>
      <c r="E52" s="89" t="s">
        <v>1462</v>
      </c>
      <c r="F52" s="109"/>
      <c r="G52" s="107" t="s">
        <v>45</v>
      </c>
      <c r="H52" s="107" t="s">
        <v>68</v>
      </c>
      <c r="I52" s="65" t="s">
        <v>1457</v>
      </c>
      <c r="J52" s="65" t="s">
        <v>1458</v>
      </c>
      <c r="K52" s="67" t="s">
        <v>1459</v>
      </c>
      <c r="L52" s="109"/>
      <c r="M52" s="106">
        <v>1.0</v>
      </c>
      <c r="N52" s="107" t="s">
        <v>333</v>
      </c>
      <c r="O52" s="89" t="s">
        <v>1463</v>
      </c>
      <c r="P52" s="89" t="s">
        <v>1461</v>
      </c>
      <c r="Q52" s="89" t="s">
        <v>1462</v>
      </c>
      <c r="R52" s="109"/>
    </row>
    <row r="53">
      <c r="A53" s="68">
        <v>25.0</v>
      </c>
      <c r="B53" s="67" t="s">
        <v>337</v>
      </c>
      <c r="C53" s="89" t="s">
        <v>1401</v>
      </c>
      <c r="D53" s="89" t="s">
        <v>1461</v>
      </c>
      <c r="E53" s="89" t="s">
        <v>1462</v>
      </c>
      <c r="F53" s="64"/>
      <c r="G53" s="68">
        <v>1.0</v>
      </c>
      <c r="H53" s="67" t="s">
        <v>338</v>
      </c>
      <c r="I53" s="89" t="s">
        <v>1401</v>
      </c>
      <c r="J53" s="89" t="s">
        <v>1461</v>
      </c>
      <c r="K53" s="89" t="s">
        <v>1462</v>
      </c>
      <c r="L53" s="64"/>
      <c r="M53" s="68">
        <v>1.0</v>
      </c>
      <c r="N53" s="67" t="s">
        <v>340</v>
      </c>
      <c r="O53" s="89" t="s">
        <v>1463</v>
      </c>
      <c r="P53" s="89" t="s">
        <v>1461</v>
      </c>
      <c r="Q53" s="89" t="s">
        <v>1462</v>
      </c>
      <c r="R53" s="64"/>
    </row>
    <row r="54">
      <c r="A54" s="68">
        <v>4.0</v>
      </c>
      <c r="B54" s="67" t="s">
        <v>301</v>
      </c>
      <c r="C54" s="89" t="s">
        <v>1401</v>
      </c>
      <c r="D54" s="89" t="s">
        <v>1461</v>
      </c>
      <c r="E54" s="89" t="s">
        <v>1462</v>
      </c>
      <c r="F54" s="64"/>
      <c r="G54" s="68">
        <v>1.0</v>
      </c>
      <c r="H54" s="67" t="s">
        <v>344</v>
      </c>
      <c r="I54" s="89" t="s">
        <v>1401</v>
      </c>
      <c r="J54" s="89" t="s">
        <v>1461</v>
      </c>
      <c r="K54" s="89" t="s">
        <v>1462</v>
      </c>
      <c r="L54" s="64"/>
      <c r="M54" s="68">
        <v>1.0</v>
      </c>
      <c r="N54" s="67" t="s">
        <v>346</v>
      </c>
      <c r="O54" s="89" t="s">
        <v>1463</v>
      </c>
      <c r="P54" s="89" t="s">
        <v>1461</v>
      </c>
      <c r="Q54" s="89" t="s">
        <v>1462</v>
      </c>
      <c r="R54" s="64"/>
    </row>
    <row r="55">
      <c r="A55" s="106">
        <v>4.0</v>
      </c>
      <c r="B55" s="107" t="s">
        <v>332</v>
      </c>
      <c r="C55" s="89" t="s">
        <v>1401</v>
      </c>
      <c r="D55" s="89" t="s">
        <v>1461</v>
      </c>
      <c r="E55" s="89" t="s">
        <v>1462</v>
      </c>
      <c r="F55" s="109"/>
      <c r="G55" s="106">
        <v>1.0</v>
      </c>
      <c r="H55" s="107" t="s">
        <v>348</v>
      </c>
      <c r="I55" s="89" t="s">
        <v>1401</v>
      </c>
      <c r="J55" s="89" t="s">
        <v>1461</v>
      </c>
      <c r="K55" s="89" t="s">
        <v>1462</v>
      </c>
      <c r="L55" s="109"/>
      <c r="M55" s="106">
        <v>1.0</v>
      </c>
      <c r="N55" s="107" t="s">
        <v>350</v>
      </c>
      <c r="O55" s="89" t="s">
        <v>1463</v>
      </c>
      <c r="P55" s="89" t="s">
        <v>1461</v>
      </c>
      <c r="Q55" s="89" t="s">
        <v>1462</v>
      </c>
      <c r="R55" s="109"/>
    </row>
    <row r="56">
      <c r="A56" s="68">
        <v>2.0</v>
      </c>
      <c r="B56" s="67" t="s">
        <v>309</v>
      </c>
      <c r="C56" s="89" t="s">
        <v>1401</v>
      </c>
      <c r="D56" s="89" t="s">
        <v>1461</v>
      </c>
      <c r="E56" s="89" t="s">
        <v>1462</v>
      </c>
      <c r="F56" s="64"/>
      <c r="G56" s="68">
        <v>1.0</v>
      </c>
      <c r="H56" s="67" t="s">
        <v>354</v>
      </c>
      <c r="I56" s="89" t="s">
        <v>1401</v>
      </c>
      <c r="J56" s="89" t="s">
        <v>1461</v>
      </c>
      <c r="K56" s="89" t="s">
        <v>1462</v>
      </c>
      <c r="L56" s="64"/>
      <c r="M56" s="68">
        <v>1.0</v>
      </c>
      <c r="N56" s="67" t="s">
        <v>356</v>
      </c>
      <c r="O56" s="89" t="s">
        <v>1463</v>
      </c>
      <c r="P56" s="89" t="s">
        <v>1461</v>
      </c>
      <c r="Q56" s="89" t="s">
        <v>1462</v>
      </c>
      <c r="R56" s="64"/>
    </row>
    <row r="57">
      <c r="A57" s="106">
        <v>1.0</v>
      </c>
      <c r="B57" s="107" t="s">
        <v>309</v>
      </c>
      <c r="C57" s="89" t="s">
        <v>1401</v>
      </c>
      <c r="D57" s="89" t="s">
        <v>1461</v>
      </c>
      <c r="E57" s="89" t="s">
        <v>1462</v>
      </c>
      <c r="F57" s="109"/>
      <c r="G57" s="106">
        <v>1.0</v>
      </c>
      <c r="H57" s="107" t="s">
        <v>358</v>
      </c>
      <c r="I57" s="89" t="s">
        <v>1401</v>
      </c>
      <c r="J57" s="89" t="s">
        <v>1461</v>
      </c>
      <c r="K57" s="89" t="s">
        <v>1462</v>
      </c>
      <c r="L57" s="109"/>
      <c r="M57" s="106">
        <v>1.0</v>
      </c>
      <c r="N57" s="107" t="s">
        <v>359</v>
      </c>
      <c r="O57" s="89" t="s">
        <v>1463</v>
      </c>
      <c r="P57" s="89" t="s">
        <v>1461</v>
      </c>
      <c r="Q57" s="89" t="s">
        <v>1462</v>
      </c>
      <c r="R57" s="109"/>
    </row>
    <row r="58">
      <c r="A58" s="68">
        <v>1.0</v>
      </c>
      <c r="B58" s="67" t="s">
        <v>309</v>
      </c>
      <c r="C58" s="89" t="s">
        <v>1401</v>
      </c>
      <c r="D58" s="89" t="s">
        <v>1461</v>
      </c>
      <c r="E58" s="89" t="s">
        <v>1462</v>
      </c>
      <c r="F58" s="64"/>
      <c r="G58" s="68">
        <v>1.0</v>
      </c>
      <c r="H58" s="67" t="s">
        <v>364</v>
      </c>
      <c r="I58" s="89" t="s">
        <v>1401</v>
      </c>
      <c r="J58" s="89" t="s">
        <v>1461</v>
      </c>
      <c r="K58" s="89" t="s">
        <v>1462</v>
      </c>
      <c r="L58" s="64"/>
      <c r="M58" s="64"/>
      <c r="N58" s="64"/>
      <c r="O58" s="64"/>
      <c r="P58" s="64"/>
      <c r="Q58" s="64"/>
      <c r="R58" s="64"/>
    </row>
    <row r="59">
      <c r="A59" s="106">
        <v>4.0</v>
      </c>
      <c r="B59" s="110" t="s">
        <v>332</v>
      </c>
      <c r="C59" s="89" t="s">
        <v>1401</v>
      </c>
      <c r="D59" s="89" t="s">
        <v>1461</v>
      </c>
      <c r="E59" s="89" t="s">
        <v>1462</v>
      </c>
      <c r="F59" s="109"/>
      <c r="G59" s="106">
        <v>1.0</v>
      </c>
      <c r="H59" s="107" t="s">
        <v>366</v>
      </c>
      <c r="I59" s="89" t="s">
        <v>1401</v>
      </c>
      <c r="J59" s="89" t="s">
        <v>1461</v>
      </c>
      <c r="K59" s="89" t="s">
        <v>1462</v>
      </c>
      <c r="L59" s="109"/>
      <c r="M59" s="109" t="s">
        <v>368</v>
      </c>
      <c r="O59" s="109"/>
      <c r="P59" s="109"/>
      <c r="Q59" s="109"/>
      <c r="R59" s="109"/>
    </row>
    <row r="60">
      <c r="A60" s="64"/>
      <c r="B60" s="64"/>
      <c r="C60" s="64"/>
      <c r="D60" s="64"/>
      <c r="E60" s="64"/>
      <c r="F60" s="64"/>
      <c r="G60" s="68">
        <v>2.0</v>
      </c>
      <c r="H60" s="67" t="s">
        <v>372</v>
      </c>
      <c r="I60" s="89" t="s">
        <v>1401</v>
      </c>
      <c r="J60" s="89" t="s">
        <v>1461</v>
      </c>
      <c r="K60" s="89" t="s">
        <v>1462</v>
      </c>
      <c r="L60" s="64"/>
      <c r="M60" s="67" t="s">
        <v>45</v>
      </c>
      <c r="N60" s="67" t="s">
        <v>68</v>
      </c>
      <c r="O60" s="65" t="s">
        <v>1457</v>
      </c>
      <c r="P60" s="65" t="s">
        <v>1458</v>
      </c>
      <c r="Q60" s="67" t="s">
        <v>1459</v>
      </c>
      <c r="R60" s="64"/>
    </row>
    <row r="61">
      <c r="A61" s="64" t="s">
        <v>374</v>
      </c>
      <c r="C61" s="64"/>
      <c r="D61" s="64"/>
      <c r="E61" s="64"/>
      <c r="F61" s="64"/>
      <c r="G61" s="68">
        <v>1.0</v>
      </c>
      <c r="H61" s="67" t="s">
        <v>375</v>
      </c>
      <c r="I61" s="89" t="s">
        <v>1401</v>
      </c>
      <c r="J61" s="89" t="s">
        <v>1461</v>
      </c>
      <c r="K61" s="89" t="s">
        <v>1462</v>
      </c>
      <c r="L61" s="64"/>
      <c r="M61" s="68">
        <v>2.0</v>
      </c>
      <c r="N61" s="67" t="s">
        <v>376</v>
      </c>
      <c r="O61" s="89" t="s">
        <v>1463</v>
      </c>
      <c r="P61" s="89" t="s">
        <v>1465</v>
      </c>
      <c r="Q61" s="89" t="s">
        <v>1462</v>
      </c>
      <c r="R61" s="64"/>
    </row>
    <row r="62">
      <c r="A62" s="67" t="s">
        <v>45</v>
      </c>
      <c r="B62" s="67" t="s">
        <v>68</v>
      </c>
      <c r="C62" s="65" t="s">
        <v>1457</v>
      </c>
      <c r="D62" s="65" t="s">
        <v>1458</v>
      </c>
      <c r="E62" s="67" t="s">
        <v>1459</v>
      </c>
      <c r="F62" s="64"/>
      <c r="G62" s="68">
        <v>7.0</v>
      </c>
      <c r="H62" s="67" t="s">
        <v>380</v>
      </c>
      <c r="I62" s="89" t="s">
        <v>1401</v>
      </c>
      <c r="J62" s="89" t="s">
        <v>1461</v>
      </c>
      <c r="K62" s="89" t="s">
        <v>1462</v>
      </c>
      <c r="L62" s="64"/>
      <c r="M62" s="68">
        <v>1.0</v>
      </c>
      <c r="N62" s="67" t="s">
        <v>381</v>
      </c>
      <c r="O62" s="89" t="s">
        <v>1463</v>
      </c>
      <c r="P62" s="89" t="s">
        <v>1465</v>
      </c>
      <c r="Q62" s="89" t="s">
        <v>1462</v>
      </c>
      <c r="R62" s="64"/>
    </row>
    <row r="63">
      <c r="A63" s="68">
        <v>1.0</v>
      </c>
      <c r="B63" s="67" t="s">
        <v>309</v>
      </c>
      <c r="C63" s="89" t="s">
        <v>1463</v>
      </c>
      <c r="D63" s="89" t="s">
        <v>1461</v>
      </c>
      <c r="E63" s="89" t="s">
        <v>1462</v>
      </c>
      <c r="F63" s="64"/>
      <c r="G63" s="68">
        <v>1.0</v>
      </c>
      <c r="H63" s="67" t="s">
        <v>384</v>
      </c>
      <c r="I63" s="89" t="s">
        <v>1401</v>
      </c>
      <c r="J63" s="89" t="s">
        <v>1461</v>
      </c>
      <c r="K63" s="89" t="s">
        <v>1462</v>
      </c>
      <c r="L63" s="64"/>
      <c r="M63" s="68">
        <v>1.0</v>
      </c>
      <c r="N63" s="67" t="s">
        <v>386</v>
      </c>
      <c r="O63" s="89" t="s">
        <v>1463</v>
      </c>
      <c r="P63" s="89" t="s">
        <v>1465</v>
      </c>
      <c r="Q63" s="89" t="s">
        <v>1462</v>
      </c>
      <c r="R63" s="64"/>
    </row>
    <row r="64">
      <c r="A64" s="68">
        <v>1.0</v>
      </c>
      <c r="B64" s="67" t="s">
        <v>390</v>
      </c>
      <c r="C64" s="89" t="s">
        <v>1463</v>
      </c>
      <c r="D64" s="89" t="s">
        <v>1461</v>
      </c>
      <c r="E64" s="89" t="s">
        <v>1462</v>
      </c>
      <c r="F64" s="64"/>
      <c r="G64" s="68">
        <v>1.0</v>
      </c>
      <c r="H64" s="67" t="s">
        <v>392</v>
      </c>
      <c r="I64" s="89" t="s">
        <v>1401</v>
      </c>
      <c r="J64" s="89" t="s">
        <v>1461</v>
      </c>
      <c r="K64" s="89" t="s">
        <v>1462</v>
      </c>
      <c r="L64" s="64"/>
      <c r="M64" s="68">
        <v>1.0</v>
      </c>
      <c r="N64" s="67" t="s">
        <v>394</v>
      </c>
      <c r="O64" s="89" t="s">
        <v>1463</v>
      </c>
      <c r="P64" s="89" t="s">
        <v>1465</v>
      </c>
      <c r="Q64" s="89" t="s">
        <v>1462</v>
      </c>
      <c r="R64" s="64"/>
    </row>
    <row r="65">
      <c r="A65" s="68">
        <v>1.0</v>
      </c>
      <c r="B65" s="67" t="s">
        <v>390</v>
      </c>
      <c r="C65" s="89" t="s">
        <v>1463</v>
      </c>
      <c r="D65" s="89" t="s">
        <v>1461</v>
      </c>
      <c r="E65" s="89" t="s">
        <v>1462</v>
      </c>
      <c r="F65" s="64"/>
      <c r="G65" s="68">
        <v>1.0</v>
      </c>
      <c r="H65" s="67" t="s">
        <v>399</v>
      </c>
      <c r="I65" s="89" t="s">
        <v>1401</v>
      </c>
      <c r="J65" s="89" t="s">
        <v>1461</v>
      </c>
      <c r="K65" s="89" t="s">
        <v>1462</v>
      </c>
      <c r="L65" s="64"/>
      <c r="M65" s="68">
        <v>1.0</v>
      </c>
      <c r="N65" s="67" t="s">
        <v>401</v>
      </c>
      <c r="O65" s="89" t="s">
        <v>1463</v>
      </c>
      <c r="P65" s="89" t="s">
        <v>1465</v>
      </c>
      <c r="Q65" s="89" t="s">
        <v>1462</v>
      </c>
      <c r="R65" s="64"/>
    </row>
    <row r="66">
      <c r="A66" s="68">
        <v>1.0</v>
      </c>
      <c r="B66" s="67" t="s">
        <v>390</v>
      </c>
      <c r="C66" s="89" t="s">
        <v>1463</v>
      </c>
      <c r="D66" s="89" t="s">
        <v>1461</v>
      </c>
      <c r="E66" s="89" t="s">
        <v>1462</v>
      </c>
      <c r="F66" s="64"/>
      <c r="G66" s="68">
        <v>1.0</v>
      </c>
      <c r="H66" s="67" t="s">
        <v>404</v>
      </c>
      <c r="I66" s="89" t="s">
        <v>1401</v>
      </c>
      <c r="J66" s="89" t="s">
        <v>1461</v>
      </c>
      <c r="K66" s="89" t="s">
        <v>1462</v>
      </c>
      <c r="L66" s="64"/>
      <c r="M66" s="68">
        <v>1.0</v>
      </c>
      <c r="N66" s="67" t="s">
        <v>406</v>
      </c>
      <c r="O66" s="89" t="s">
        <v>1463</v>
      </c>
      <c r="P66" s="89" t="s">
        <v>1465</v>
      </c>
      <c r="Q66" s="89" t="s">
        <v>1462</v>
      </c>
      <c r="R66" s="64"/>
    </row>
    <row r="67">
      <c r="A67" s="64"/>
      <c r="B67" s="64"/>
      <c r="C67" s="64"/>
      <c r="D67" s="64"/>
      <c r="E67" s="64"/>
      <c r="F67" s="64"/>
      <c r="G67" s="68">
        <v>1.0</v>
      </c>
      <c r="H67" s="67" t="s">
        <v>410</v>
      </c>
      <c r="I67" s="89" t="s">
        <v>1401</v>
      </c>
      <c r="J67" s="89" t="s">
        <v>1461</v>
      </c>
      <c r="K67" s="89" t="s">
        <v>1462</v>
      </c>
      <c r="L67" s="64"/>
      <c r="M67" s="68">
        <v>1.0</v>
      </c>
      <c r="N67" s="67" t="s">
        <v>412</v>
      </c>
      <c r="O67" s="89" t="s">
        <v>1463</v>
      </c>
      <c r="P67" s="89" t="s">
        <v>1465</v>
      </c>
      <c r="Q67" s="89" t="s">
        <v>1462</v>
      </c>
      <c r="R67" s="64"/>
    </row>
    <row r="68">
      <c r="A68" s="64" t="s">
        <v>416</v>
      </c>
      <c r="C68" s="64"/>
      <c r="D68" s="64"/>
      <c r="E68" s="64"/>
      <c r="F68" s="64"/>
      <c r="G68" s="68">
        <v>1.0</v>
      </c>
      <c r="H68" s="67" t="s">
        <v>417</v>
      </c>
      <c r="I68" s="89" t="s">
        <v>1401</v>
      </c>
      <c r="J68" s="89" t="s">
        <v>1461</v>
      </c>
      <c r="K68" s="89" t="s">
        <v>1462</v>
      </c>
      <c r="L68" s="64"/>
      <c r="M68" s="68">
        <v>1.0</v>
      </c>
      <c r="N68" s="67" t="s">
        <v>419</v>
      </c>
      <c r="O68" s="89" t="s">
        <v>1463</v>
      </c>
      <c r="P68" s="89" t="s">
        <v>1465</v>
      </c>
      <c r="Q68" s="89" t="s">
        <v>1462</v>
      </c>
      <c r="R68" s="64"/>
    </row>
    <row r="69">
      <c r="A69" s="67" t="s">
        <v>45</v>
      </c>
      <c r="B69" s="67" t="s">
        <v>68</v>
      </c>
      <c r="C69" s="65" t="s">
        <v>1457</v>
      </c>
      <c r="D69" s="65" t="s">
        <v>1458</v>
      </c>
      <c r="E69" s="67" t="s">
        <v>1459</v>
      </c>
      <c r="F69" s="64"/>
      <c r="G69" s="68">
        <v>1.0</v>
      </c>
      <c r="H69" s="67" t="s">
        <v>421</v>
      </c>
      <c r="I69" s="89" t="s">
        <v>1401</v>
      </c>
      <c r="J69" s="89" t="s">
        <v>1461</v>
      </c>
      <c r="K69" s="89" t="s">
        <v>1462</v>
      </c>
      <c r="L69" s="64"/>
      <c r="M69" s="68">
        <v>1.0</v>
      </c>
      <c r="N69" s="67" t="s">
        <v>423</v>
      </c>
      <c r="O69" s="89" t="s">
        <v>1463</v>
      </c>
      <c r="P69" s="89" t="s">
        <v>1465</v>
      </c>
      <c r="Q69" s="89" t="s">
        <v>1462</v>
      </c>
      <c r="R69" s="64"/>
    </row>
    <row r="70">
      <c r="A70" s="68">
        <v>1.0</v>
      </c>
      <c r="B70" s="67" t="s">
        <v>427</v>
      </c>
      <c r="C70" s="89" t="s">
        <v>1463</v>
      </c>
      <c r="D70" s="89" t="s">
        <v>1461</v>
      </c>
      <c r="E70" s="89" t="s">
        <v>1462</v>
      </c>
      <c r="F70" s="64"/>
      <c r="G70" s="68">
        <v>1.0</v>
      </c>
      <c r="H70" s="67" t="s">
        <v>429</v>
      </c>
      <c r="I70" s="89" t="s">
        <v>1401</v>
      </c>
      <c r="J70" s="89" t="s">
        <v>1461</v>
      </c>
      <c r="K70" s="89" t="s">
        <v>1462</v>
      </c>
      <c r="L70" s="64"/>
      <c r="M70" s="68">
        <v>1.0</v>
      </c>
      <c r="N70" s="67" t="s">
        <v>431</v>
      </c>
      <c r="O70" s="89" t="s">
        <v>1463</v>
      </c>
      <c r="P70" s="89" t="s">
        <v>1465</v>
      </c>
      <c r="Q70" s="89" t="s">
        <v>1462</v>
      </c>
      <c r="R70" s="64"/>
    </row>
    <row r="71">
      <c r="A71" s="68">
        <v>1.0</v>
      </c>
      <c r="B71" s="67" t="s">
        <v>433</v>
      </c>
      <c r="C71" s="89" t="s">
        <v>1463</v>
      </c>
      <c r="D71" s="89" t="s">
        <v>1461</v>
      </c>
      <c r="E71" s="89" t="s">
        <v>1462</v>
      </c>
      <c r="F71" s="64"/>
      <c r="G71" s="68">
        <v>1.0</v>
      </c>
      <c r="H71" s="67" t="s">
        <v>435</v>
      </c>
      <c r="I71" s="89" t="s">
        <v>1401</v>
      </c>
      <c r="J71" s="89" t="s">
        <v>1461</v>
      </c>
      <c r="K71" s="89" t="s">
        <v>1462</v>
      </c>
      <c r="L71" s="64"/>
      <c r="M71" s="68">
        <v>1.0</v>
      </c>
      <c r="N71" s="67" t="s">
        <v>437</v>
      </c>
      <c r="O71" s="89" t="s">
        <v>1463</v>
      </c>
      <c r="P71" s="89" t="s">
        <v>1465</v>
      </c>
      <c r="Q71" s="89" t="s">
        <v>1462</v>
      </c>
      <c r="R71" s="64"/>
    </row>
    <row r="72">
      <c r="A72" s="68">
        <v>1.0</v>
      </c>
      <c r="B72" s="67" t="s">
        <v>441</v>
      </c>
      <c r="C72" s="89" t="s">
        <v>1463</v>
      </c>
      <c r="D72" s="89" t="s">
        <v>1461</v>
      </c>
      <c r="E72" s="89" t="s">
        <v>1462</v>
      </c>
      <c r="F72" s="64"/>
      <c r="G72" s="68">
        <v>1.0</v>
      </c>
      <c r="H72" s="67" t="s">
        <v>443</v>
      </c>
      <c r="I72" s="89" t="s">
        <v>1401</v>
      </c>
      <c r="J72" s="89" t="s">
        <v>1461</v>
      </c>
      <c r="K72" s="89" t="s">
        <v>1462</v>
      </c>
      <c r="L72" s="64"/>
      <c r="M72" s="68">
        <v>1.0</v>
      </c>
      <c r="N72" s="67" t="s">
        <v>445</v>
      </c>
      <c r="O72" s="89" t="s">
        <v>1463</v>
      </c>
      <c r="P72" s="89" t="s">
        <v>1465</v>
      </c>
      <c r="Q72" s="89" t="s">
        <v>1462</v>
      </c>
      <c r="R72" s="64"/>
    </row>
    <row r="73">
      <c r="A73" s="68">
        <v>2.0</v>
      </c>
      <c r="B73" s="67" t="s">
        <v>449</v>
      </c>
      <c r="C73" s="89" t="s">
        <v>1463</v>
      </c>
      <c r="D73" s="89" t="s">
        <v>1461</v>
      </c>
      <c r="E73" s="89" t="s">
        <v>1462</v>
      </c>
      <c r="F73" s="64"/>
      <c r="G73" s="68">
        <v>13.0</v>
      </c>
      <c r="H73" s="67" t="s">
        <v>450</v>
      </c>
      <c r="I73" s="89" t="s">
        <v>1401</v>
      </c>
      <c r="J73" s="89" t="s">
        <v>1461</v>
      </c>
      <c r="K73" s="89" t="s">
        <v>1462</v>
      </c>
      <c r="L73" s="64"/>
      <c r="M73" s="68">
        <v>1.0</v>
      </c>
      <c r="N73" s="67" t="s">
        <v>452</v>
      </c>
      <c r="O73" s="89" t="s">
        <v>1463</v>
      </c>
      <c r="P73" s="89" t="s">
        <v>1465</v>
      </c>
      <c r="Q73" s="89" t="s">
        <v>1462</v>
      </c>
      <c r="R73" s="64"/>
    </row>
    <row r="74">
      <c r="A74" s="68">
        <v>2.0</v>
      </c>
      <c r="B74" s="67" t="s">
        <v>456</v>
      </c>
      <c r="C74" s="89" t="s">
        <v>1463</v>
      </c>
      <c r="D74" s="89" t="s">
        <v>1461</v>
      </c>
      <c r="E74" s="89" t="s">
        <v>1462</v>
      </c>
      <c r="F74" s="64"/>
      <c r="G74" s="68">
        <v>1.0</v>
      </c>
      <c r="H74" s="67" t="s">
        <v>458</v>
      </c>
      <c r="I74" s="89" t="s">
        <v>1401</v>
      </c>
      <c r="J74" s="89" t="s">
        <v>1461</v>
      </c>
      <c r="K74" s="89" t="s">
        <v>1462</v>
      </c>
      <c r="L74" s="64"/>
      <c r="M74" s="68">
        <v>1.0</v>
      </c>
      <c r="N74" s="67" t="s">
        <v>460</v>
      </c>
      <c r="O74" s="89" t="s">
        <v>1463</v>
      </c>
      <c r="P74" s="89" t="s">
        <v>1465</v>
      </c>
      <c r="Q74" s="89" t="s">
        <v>1462</v>
      </c>
      <c r="R74" s="64"/>
    </row>
    <row r="75">
      <c r="A75" s="68">
        <v>2.0</v>
      </c>
      <c r="B75" s="67" t="s">
        <v>461</v>
      </c>
      <c r="C75" s="89" t="s">
        <v>1463</v>
      </c>
      <c r="D75" s="89" t="s">
        <v>1461</v>
      </c>
      <c r="E75" s="89" t="s">
        <v>1462</v>
      </c>
      <c r="F75" s="64"/>
      <c r="G75" s="68">
        <v>2.0</v>
      </c>
      <c r="H75" s="67" t="s">
        <v>462</v>
      </c>
      <c r="I75" s="89" t="s">
        <v>1401</v>
      </c>
      <c r="J75" s="89" t="s">
        <v>1461</v>
      </c>
      <c r="K75" s="89" t="s">
        <v>1462</v>
      </c>
      <c r="L75" s="64"/>
      <c r="M75" s="68">
        <v>1.0</v>
      </c>
      <c r="N75" s="67" t="s">
        <v>463</v>
      </c>
      <c r="O75" s="89" t="s">
        <v>1463</v>
      </c>
      <c r="P75" s="89" t="s">
        <v>1465</v>
      </c>
      <c r="Q75" s="89" t="s">
        <v>1462</v>
      </c>
      <c r="R75" s="64"/>
    </row>
    <row r="76">
      <c r="A76" s="64"/>
      <c r="B76" s="64"/>
      <c r="C76" s="64"/>
      <c r="D76" s="64"/>
      <c r="E76" s="64"/>
      <c r="F76" s="64"/>
      <c r="G76" s="68">
        <v>1.0</v>
      </c>
      <c r="H76" s="67" t="s">
        <v>464</v>
      </c>
      <c r="I76" s="89" t="s">
        <v>1401</v>
      </c>
      <c r="J76" s="89" t="s">
        <v>1461</v>
      </c>
      <c r="K76" s="89" t="s">
        <v>1462</v>
      </c>
      <c r="L76" s="64"/>
      <c r="M76" s="68">
        <v>1.0</v>
      </c>
      <c r="N76" s="67" t="s">
        <v>466</v>
      </c>
      <c r="O76" s="89" t="s">
        <v>1463</v>
      </c>
      <c r="P76" s="89" t="s">
        <v>1465</v>
      </c>
      <c r="Q76" s="89" t="s">
        <v>1462</v>
      </c>
      <c r="R76" s="64"/>
    </row>
    <row r="77">
      <c r="A77" s="64" t="s">
        <v>467</v>
      </c>
      <c r="C77" s="64"/>
      <c r="D77" s="64"/>
      <c r="E77" s="64"/>
      <c r="F77" s="64"/>
      <c r="G77" s="68">
        <v>1.0</v>
      </c>
      <c r="H77" s="67" t="s">
        <v>468</v>
      </c>
      <c r="I77" s="89" t="s">
        <v>1401</v>
      </c>
      <c r="J77" s="89" t="s">
        <v>1461</v>
      </c>
      <c r="K77" s="89" t="s">
        <v>1462</v>
      </c>
      <c r="L77" s="64"/>
      <c r="M77" s="68">
        <v>1.0</v>
      </c>
      <c r="N77" s="67" t="s">
        <v>470</v>
      </c>
      <c r="O77" s="89" t="s">
        <v>1463</v>
      </c>
      <c r="P77" s="89" t="s">
        <v>1465</v>
      </c>
      <c r="Q77" s="89" t="s">
        <v>1462</v>
      </c>
      <c r="R77" s="64"/>
    </row>
    <row r="78">
      <c r="A78" s="67" t="s">
        <v>45</v>
      </c>
      <c r="B78" s="67" t="s">
        <v>68</v>
      </c>
      <c r="C78" s="65" t="s">
        <v>1457</v>
      </c>
      <c r="D78" s="65" t="s">
        <v>1458</v>
      </c>
      <c r="E78" s="67" t="s">
        <v>1459</v>
      </c>
      <c r="F78" s="64"/>
      <c r="G78" s="68">
        <v>1.0</v>
      </c>
      <c r="H78" s="67" t="s">
        <v>471</v>
      </c>
      <c r="I78" s="89" t="s">
        <v>1401</v>
      </c>
      <c r="J78" s="89" t="s">
        <v>1461</v>
      </c>
      <c r="K78" s="89" t="s">
        <v>1462</v>
      </c>
      <c r="L78" s="64"/>
      <c r="M78" s="68">
        <v>1.0</v>
      </c>
      <c r="N78" s="67" t="s">
        <v>473</v>
      </c>
      <c r="O78" s="89" t="s">
        <v>1463</v>
      </c>
      <c r="P78" s="89" t="s">
        <v>1465</v>
      </c>
      <c r="Q78" s="89" t="s">
        <v>1462</v>
      </c>
      <c r="R78" s="64"/>
    </row>
    <row r="79">
      <c r="A79" s="68">
        <v>1.0</v>
      </c>
      <c r="B79" s="67" t="s">
        <v>474</v>
      </c>
      <c r="C79" s="89" t="s">
        <v>1463</v>
      </c>
      <c r="D79" s="89" t="s">
        <v>1461</v>
      </c>
      <c r="E79" s="89" t="s">
        <v>1462</v>
      </c>
      <c r="F79" s="64"/>
      <c r="G79" s="68">
        <v>1.0</v>
      </c>
      <c r="H79" s="67" t="s">
        <v>476</v>
      </c>
      <c r="I79" s="89" t="s">
        <v>1401</v>
      </c>
      <c r="J79" s="89" t="s">
        <v>1461</v>
      </c>
      <c r="K79" s="89" t="s">
        <v>1462</v>
      </c>
      <c r="L79" s="64"/>
      <c r="M79" s="68">
        <v>1.0</v>
      </c>
      <c r="N79" s="67" t="s">
        <v>478</v>
      </c>
      <c r="O79" s="89" t="s">
        <v>1463</v>
      </c>
      <c r="P79" s="89" t="s">
        <v>1465</v>
      </c>
      <c r="Q79" s="89" t="s">
        <v>1462</v>
      </c>
      <c r="R79" s="64"/>
    </row>
    <row r="80">
      <c r="A80" s="64"/>
      <c r="B80" s="64"/>
      <c r="C80" s="64"/>
      <c r="D80" s="64"/>
      <c r="E80" s="64"/>
      <c r="F80" s="64"/>
      <c r="G80" s="68">
        <v>1.0</v>
      </c>
      <c r="H80" s="67" t="s">
        <v>479</v>
      </c>
      <c r="I80" s="89" t="s">
        <v>1401</v>
      </c>
      <c r="J80" s="89" t="s">
        <v>1461</v>
      </c>
      <c r="K80" s="89" t="s">
        <v>1462</v>
      </c>
      <c r="L80" s="64"/>
      <c r="M80" s="68">
        <v>1.0</v>
      </c>
      <c r="N80" s="67" t="s">
        <v>481</v>
      </c>
      <c r="O80" s="89" t="s">
        <v>1463</v>
      </c>
      <c r="P80" s="89" t="s">
        <v>1465</v>
      </c>
      <c r="Q80" s="89" t="s">
        <v>1462</v>
      </c>
      <c r="R80" s="64"/>
    </row>
    <row r="81">
      <c r="A81" s="64" t="s">
        <v>482</v>
      </c>
      <c r="C81" s="64"/>
      <c r="D81" s="64"/>
      <c r="E81" s="64"/>
      <c r="F81" s="64"/>
      <c r="G81" s="68">
        <v>1.0</v>
      </c>
      <c r="H81" s="67" t="s">
        <v>483</v>
      </c>
      <c r="I81" s="89" t="s">
        <v>1401</v>
      </c>
      <c r="J81" s="89" t="s">
        <v>1461</v>
      </c>
      <c r="K81" s="89" t="s">
        <v>1462</v>
      </c>
      <c r="L81" s="64"/>
      <c r="M81" s="68">
        <v>1.0</v>
      </c>
      <c r="N81" s="67" t="s">
        <v>485</v>
      </c>
      <c r="O81" s="89" t="s">
        <v>1463</v>
      </c>
      <c r="P81" s="89" t="s">
        <v>1465</v>
      </c>
      <c r="Q81" s="89" t="s">
        <v>1462</v>
      </c>
      <c r="R81" s="64"/>
    </row>
    <row r="82">
      <c r="A82" s="67" t="s">
        <v>45</v>
      </c>
      <c r="B82" s="67" t="s">
        <v>68</v>
      </c>
      <c r="C82" s="65" t="s">
        <v>1457</v>
      </c>
      <c r="D82" s="65" t="s">
        <v>1458</v>
      </c>
      <c r="E82" s="67" t="s">
        <v>1459</v>
      </c>
      <c r="F82" s="64"/>
      <c r="G82" s="68">
        <v>1.0</v>
      </c>
      <c r="H82" s="67" t="s">
        <v>486</v>
      </c>
      <c r="I82" s="89" t="s">
        <v>1401</v>
      </c>
      <c r="J82" s="89" t="s">
        <v>1461</v>
      </c>
      <c r="K82" s="89" t="s">
        <v>1462</v>
      </c>
      <c r="L82" s="64"/>
      <c r="M82" s="68">
        <v>1.0</v>
      </c>
      <c r="N82" s="67" t="s">
        <v>488</v>
      </c>
      <c r="O82" s="89" t="s">
        <v>1463</v>
      </c>
      <c r="P82" s="89" t="s">
        <v>1465</v>
      </c>
      <c r="Q82" s="89" t="s">
        <v>1462</v>
      </c>
      <c r="R82" s="64"/>
    </row>
    <row r="83">
      <c r="A83" s="68">
        <v>1.0</v>
      </c>
      <c r="B83" s="67" t="s">
        <v>489</v>
      </c>
      <c r="C83" s="89" t="s">
        <v>1463</v>
      </c>
      <c r="D83" s="89" t="s">
        <v>1461</v>
      </c>
      <c r="E83" s="89" t="s">
        <v>1462</v>
      </c>
      <c r="F83" s="64"/>
      <c r="G83" s="68">
        <v>1.0</v>
      </c>
      <c r="H83" s="67" t="s">
        <v>490</v>
      </c>
      <c r="I83" s="89" t="s">
        <v>1401</v>
      </c>
      <c r="J83" s="89" t="s">
        <v>1461</v>
      </c>
      <c r="K83" s="89" t="s">
        <v>1462</v>
      </c>
      <c r="L83" s="64"/>
      <c r="M83" s="68">
        <v>1.0</v>
      </c>
      <c r="N83" s="67" t="s">
        <v>492</v>
      </c>
      <c r="O83" s="89" t="s">
        <v>1463</v>
      </c>
      <c r="P83" s="89" t="s">
        <v>1465</v>
      </c>
      <c r="Q83" s="89" t="s">
        <v>1462</v>
      </c>
      <c r="R83" s="64"/>
    </row>
    <row r="84">
      <c r="A84" s="68">
        <v>1.0</v>
      </c>
      <c r="B84" s="67" t="s">
        <v>493</v>
      </c>
      <c r="C84" s="89" t="s">
        <v>1463</v>
      </c>
      <c r="D84" s="89" t="s">
        <v>1461</v>
      </c>
      <c r="E84" s="89" t="s">
        <v>1462</v>
      </c>
      <c r="F84" s="64"/>
      <c r="G84" s="68">
        <v>1.0</v>
      </c>
      <c r="H84" s="67" t="s">
        <v>494</v>
      </c>
      <c r="I84" s="89" t="s">
        <v>1401</v>
      </c>
      <c r="J84" s="89" t="s">
        <v>1461</v>
      </c>
      <c r="K84" s="89" t="s">
        <v>1462</v>
      </c>
      <c r="L84" s="64"/>
      <c r="M84" s="68">
        <v>1.0</v>
      </c>
      <c r="N84" s="67" t="s">
        <v>496</v>
      </c>
      <c r="O84" s="89" t="s">
        <v>1463</v>
      </c>
      <c r="P84" s="89" t="s">
        <v>1465</v>
      </c>
      <c r="Q84" s="89" t="s">
        <v>1462</v>
      </c>
      <c r="R84" s="64"/>
    </row>
    <row r="85">
      <c r="A85" s="68">
        <v>1.0</v>
      </c>
      <c r="B85" s="67" t="s">
        <v>497</v>
      </c>
      <c r="C85" s="89" t="s">
        <v>1463</v>
      </c>
      <c r="D85" s="89" t="s">
        <v>1461</v>
      </c>
      <c r="E85" s="89" t="s">
        <v>1462</v>
      </c>
      <c r="F85" s="64"/>
      <c r="G85" s="68">
        <v>1.0</v>
      </c>
      <c r="H85" s="67" t="s">
        <v>498</v>
      </c>
      <c r="I85" s="89" t="s">
        <v>1401</v>
      </c>
      <c r="J85" s="89" t="s">
        <v>1461</v>
      </c>
      <c r="K85" s="89" t="s">
        <v>1462</v>
      </c>
      <c r="L85" s="64"/>
      <c r="M85" s="68">
        <v>1.0</v>
      </c>
      <c r="N85" s="67" t="s">
        <v>500</v>
      </c>
      <c r="O85" s="89" t="s">
        <v>1466</v>
      </c>
      <c r="P85" s="89" t="s">
        <v>1465</v>
      </c>
      <c r="Q85" s="89" t="s">
        <v>1462</v>
      </c>
      <c r="R85" s="64"/>
    </row>
    <row r="86">
      <c r="A86" s="68">
        <v>1.0</v>
      </c>
      <c r="B86" s="67" t="s">
        <v>501</v>
      </c>
      <c r="C86" s="89" t="s">
        <v>1463</v>
      </c>
      <c r="D86" s="89" t="s">
        <v>1461</v>
      </c>
      <c r="E86" s="89" t="s">
        <v>1462</v>
      </c>
      <c r="F86" s="64"/>
      <c r="G86" s="68">
        <v>1.0</v>
      </c>
      <c r="H86" s="67" t="s">
        <v>502</v>
      </c>
      <c r="I86" s="89" t="s">
        <v>1401</v>
      </c>
      <c r="J86" s="89" t="s">
        <v>1461</v>
      </c>
      <c r="K86" s="89" t="s">
        <v>1462</v>
      </c>
      <c r="L86" s="64"/>
      <c r="M86" s="68">
        <v>1.0</v>
      </c>
      <c r="N86" s="67" t="s">
        <v>504</v>
      </c>
      <c r="O86" s="89" t="s">
        <v>1466</v>
      </c>
      <c r="P86" s="89" t="s">
        <v>1465</v>
      </c>
      <c r="Q86" s="89" t="s">
        <v>1462</v>
      </c>
      <c r="R86" s="64"/>
    </row>
    <row r="87">
      <c r="A87" s="64"/>
      <c r="B87" s="64"/>
      <c r="C87" s="64"/>
      <c r="D87" s="64"/>
      <c r="E87" s="64"/>
      <c r="F87" s="64"/>
      <c r="G87" s="68">
        <v>1.0</v>
      </c>
      <c r="H87" s="67" t="s">
        <v>505</v>
      </c>
      <c r="I87" s="89" t="s">
        <v>1401</v>
      </c>
      <c r="J87" s="89" t="s">
        <v>1461</v>
      </c>
      <c r="K87" s="89" t="s">
        <v>1462</v>
      </c>
      <c r="L87" s="64"/>
      <c r="M87" s="68">
        <v>1.0</v>
      </c>
      <c r="N87" s="67" t="s">
        <v>507</v>
      </c>
      <c r="O87" s="89" t="s">
        <v>1466</v>
      </c>
      <c r="P87" s="89" t="s">
        <v>1465</v>
      </c>
      <c r="Q87" s="89" t="s">
        <v>1462</v>
      </c>
      <c r="R87" s="64"/>
    </row>
    <row r="88">
      <c r="A88" s="64" t="s">
        <v>508</v>
      </c>
      <c r="C88" s="64"/>
      <c r="D88" s="64"/>
      <c r="E88" s="64"/>
      <c r="F88" s="64"/>
      <c r="G88" s="68">
        <v>1.0</v>
      </c>
      <c r="H88" s="67" t="s">
        <v>509</v>
      </c>
      <c r="I88" s="89" t="s">
        <v>1401</v>
      </c>
      <c r="J88" s="89" t="s">
        <v>1461</v>
      </c>
      <c r="K88" s="89" t="s">
        <v>1462</v>
      </c>
      <c r="L88" s="64"/>
      <c r="M88" s="68">
        <v>1.0</v>
      </c>
      <c r="N88" s="67" t="s">
        <v>511</v>
      </c>
      <c r="O88" s="89" t="s">
        <v>1466</v>
      </c>
      <c r="P88" s="89" t="s">
        <v>1465</v>
      </c>
      <c r="Q88" s="89" t="s">
        <v>1462</v>
      </c>
      <c r="R88" s="64"/>
    </row>
    <row r="89">
      <c r="A89" s="67" t="s">
        <v>45</v>
      </c>
      <c r="B89" s="67" t="s">
        <v>68</v>
      </c>
      <c r="C89" s="65" t="s">
        <v>1457</v>
      </c>
      <c r="D89" s="65" t="s">
        <v>1458</v>
      </c>
      <c r="E89" s="67" t="s">
        <v>1459</v>
      </c>
      <c r="F89" s="64"/>
      <c r="G89" s="68">
        <v>1.0</v>
      </c>
      <c r="H89" s="67" t="s">
        <v>512</v>
      </c>
      <c r="I89" s="89" t="s">
        <v>1401</v>
      </c>
      <c r="J89" s="89" t="s">
        <v>1461</v>
      </c>
      <c r="K89" s="89" t="s">
        <v>1462</v>
      </c>
      <c r="L89" s="64"/>
      <c r="M89" s="68">
        <v>1.0</v>
      </c>
      <c r="N89" s="67" t="s">
        <v>514</v>
      </c>
      <c r="O89" s="89" t="s">
        <v>1466</v>
      </c>
      <c r="P89" s="89" t="s">
        <v>1465</v>
      </c>
      <c r="Q89" s="89" t="s">
        <v>1462</v>
      </c>
      <c r="R89" s="64"/>
    </row>
    <row r="90">
      <c r="A90" s="68">
        <v>2.0</v>
      </c>
      <c r="B90" s="67" t="s">
        <v>515</v>
      </c>
      <c r="C90" s="89" t="s">
        <v>1463</v>
      </c>
      <c r="D90" s="89" t="s">
        <v>1461</v>
      </c>
      <c r="E90" s="89" t="s">
        <v>1462</v>
      </c>
      <c r="F90" s="64"/>
      <c r="G90" s="68">
        <v>1.0</v>
      </c>
      <c r="H90" s="67" t="s">
        <v>516</v>
      </c>
      <c r="I90" s="89" t="s">
        <v>1401</v>
      </c>
      <c r="J90" s="89" t="s">
        <v>1461</v>
      </c>
      <c r="K90" s="89" t="s">
        <v>1462</v>
      </c>
      <c r="L90" s="64"/>
      <c r="M90" s="64"/>
      <c r="N90" s="64"/>
      <c r="O90" s="64"/>
      <c r="P90" s="64"/>
      <c r="Q90" s="64"/>
      <c r="R90" s="64"/>
    </row>
    <row r="91">
      <c r="A91" s="68">
        <v>1.0</v>
      </c>
      <c r="B91" s="67" t="s">
        <v>518</v>
      </c>
      <c r="C91" s="89" t="s">
        <v>1463</v>
      </c>
      <c r="D91" s="89" t="s">
        <v>1461</v>
      </c>
      <c r="E91" s="89" t="s">
        <v>1462</v>
      </c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>
      <c r="A92" s="68">
        <v>1.0</v>
      </c>
      <c r="B92" s="67" t="s">
        <v>520</v>
      </c>
      <c r="C92" s="111" t="s">
        <v>519</v>
      </c>
      <c r="D92" s="112"/>
      <c r="E92" s="112"/>
      <c r="F92" s="64"/>
      <c r="G92" s="64"/>
      <c r="H92" s="64"/>
      <c r="I92" s="64"/>
      <c r="J92" s="64"/>
      <c r="K92" s="64"/>
      <c r="L92" s="64"/>
      <c r="M92" s="64" t="s">
        <v>521</v>
      </c>
      <c r="O92" s="64"/>
      <c r="P92" s="64"/>
      <c r="Q92" s="64"/>
      <c r="R92" s="64"/>
    </row>
    <row r="93">
      <c r="A93" s="68">
        <v>1.0</v>
      </c>
      <c r="B93" s="67" t="s">
        <v>523</v>
      </c>
      <c r="C93" s="113" t="s">
        <v>522</v>
      </c>
      <c r="D93" s="114"/>
      <c r="E93" s="114"/>
      <c r="F93" s="64"/>
      <c r="G93" s="64" t="s">
        <v>524</v>
      </c>
      <c r="I93" s="64"/>
      <c r="J93" s="64"/>
      <c r="K93" s="64"/>
      <c r="L93" s="64"/>
      <c r="M93" s="67" t="s">
        <v>45</v>
      </c>
      <c r="N93" s="67" t="s">
        <v>68</v>
      </c>
      <c r="O93" s="65" t="s">
        <v>1457</v>
      </c>
      <c r="P93" s="65" t="s">
        <v>1458</v>
      </c>
      <c r="Q93" s="67" t="s">
        <v>1459</v>
      </c>
      <c r="R93" s="64"/>
    </row>
    <row r="94">
      <c r="A94" s="68">
        <v>1.0</v>
      </c>
      <c r="B94" s="67" t="s">
        <v>525</v>
      </c>
      <c r="C94" s="89" t="s">
        <v>1467</v>
      </c>
      <c r="D94" s="89" t="s">
        <v>1468</v>
      </c>
      <c r="E94" s="89" t="s">
        <v>1462</v>
      </c>
      <c r="F94" s="64"/>
      <c r="G94" s="67" t="s">
        <v>45</v>
      </c>
      <c r="H94" s="67" t="s">
        <v>68</v>
      </c>
      <c r="I94" s="65" t="s">
        <v>1457</v>
      </c>
      <c r="J94" s="65" t="s">
        <v>1458</v>
      </c>
      <c r="K94" s="67" t="s">
        <v>1459</v>
      </c>
      <c r="L94" s="64"/>
      <c r="M94" s="68">
        <v>1.0</v>
      </c>
      <c r="N94" s="67" t="s">
        <v>526</v>
      </c>
      <c r="O94" s="89" t="s">
        <v>1463</v>
      </c>
      <c r="P94" s="89" t="s">
        <v>1461</v>
      </c>
      <c r="Q94" s="89" t="s">
        <v>1462</v>
      </c>
      <c r="R94" s="64"/>
    </row>
    <row r="95">
      <c r="A95" s="64"/>
      <c r="B95" s="64"/>
      <c r="C95" s="64"/>
      <c r="D95" s="64"/>
      <c r="E95" s="64"/>
      <c r="F95" s="64"/>
      <c r="G95" s="68">
        <v>1.0</v>
      </c>
      <c r="H95" s="67" t="s">
        <v>527</v>
      </c>
      <c r="I95" s="89" t="s">
        <v>1463</v>
      </c>
      <c r="J95" s="89" t="s">
        <v>1461</v>
      </c>
      <c r="K95" s="89" t="s">
        <v>1462</v>
      </c>
      <c r="L95" s="64"/>
      <c r="M95" s="68">
        <v>1.0</v>
      </c>
      <c r="N95" s="67" t="s">
        <v>529</v>
      </c>
      <c r="O95" s="89" t="s">
        <v>1463</v>
      </c>
      <c r="P95" s="89" t="s">
        <v>1461</v>
      </c>
      <c r="Q95" s="89" t="s">
        <v>1462</v>
      </c>
      <c r="R95" s="64"/>
    </row>
    <row r="96">
      <c r="A96" s="64" t="s">
        <v>530</v>
      </c>
      <c r="C96" s="64"/>
      <c r="D96" s="64"/>
      <c r="E96" s="64"/>
      <c r="F96" s="64"/>
      <c r="G96" s="68">
        <v>1.0</v>
      </c>
      <c r="H96" s="67" t="s">
        <v>531</v>
      </c>
      <c r="I96" s="89" t="s">
        <v>1463</v>
      </c>
      <c r="J96" s="89" t="s">
        <v>1461</v>
      </c>
      <c r="K96" s="89" t="s">
        <v>1462</v>
      </c>
      <c r="L96" s="64"/>
      <c r="M96" s="68">
        <v>2.0</v>
      </c>
      <c r="N96" s="67" t="s">
        <v>533</v>
      </c>
      <c r="O96" s="89" t="s">
        <v>1463</v>
      </c>
      <c r="P96" s="89" t="s">
        <v>1461</v>
      </c>
      <c r="Q96" s="89" t="s">
        <v>1462</v>
      </c>
      <c r="R96" s="64"/>
    </row>
    <row r="97">
      <c r="A97" s="67" t="s">
        <v>45</v>
      </c>
      <c r="B97" s="67" t="s">
        <v>68</v>
      </c>
      <c r="C97" s="65" t="s">
        <v>1457</v>
      </c>
      <c r="D97" s="65" t="s">
        <v>1458</v>
      </c>
      <c r="E97" s="67" t="s">
        <v>1459</v>
      </c>
      <c r="F97" s="64"/>
      <c r="G97" s="68">
        <v>1.0</v>
      </c>
      <c r="H97" s="67" t="s">
        <v>534</v>
      </c>
      <c r="I97" s="89" t="s">
        <v>1463</v>
      </c>
      <c r="J97" s="89" t="s">
        <v>1461</v>
      </c>
      <c r="K97" s="89" t="s">
        <v>1462</v>
      </c>
      <c r="L97" s="64"/>
      <c r="M97" s="68">
        <v>1.0</v>
      </c>
      <c r="N97" s="67" t="s">
        <v>536</v>
      </c>
      <c r="O97" s="89" t="s">
        <v>1463</v>
      </c>
      <c r="P97" s="89" t="s">
        <v>1461</v>
      </c>
      <c r="Q97" s="89" t="s">
        <v>1462</v>
      </c>
      <c r="R97" s="64"/>
    </row>
    <row r="98">
      <c r="A98" s="68">
        <v>1.0</v>
      </c>
      <c r="B98" s="67" t="s">
        <v>537</v>
      </c>
      <c r="C98" s="89" t="s">
        <v>1460</v>
      </c>
      <c r="D98" s="89" t="s">
        <v>1461</v>
      </c>
      <c r="E98" s="89" t="s">
        <v>1462</v>
      </c>
      <c r="F98" s="64"/>
      <c r="G98" s="68">
        <v>1.0</v>
      </c>
      <c r="H98" s="67" t="s">
        <v>539</v>
      </c>
      <c r="I98" s="89" t="s">
        <v>1463</v>
      </c>
      <c r="J98" s="89" t="s">
        <v>1461</v>
      </c>
      <c r="K98" s="89" t="s">
        <v>1462</v>
      </c>
      <c r="L98" s="64"/>
      <c r="M98" s="68">
        <v>1.0</v>
      </c>
      <c r="N98" s="67" t="s">
        <v>541</v>
      </c>
      <c r="O98" s="89" t="s">
        <v>1463</v>
      </c>
      <c r="P98" s="89" t="s">
        <v>1461</v>
      </c>
      <c r="Q98" s="89" t="s">
        <v>1462</v>
      </c>
      <c r="R98" s="64"/>
    </row>
    <row r="99">
      <c r="A99" s="68">
        <v>1.0</v>
      </c>
      <c r="B99" s="67" t="s">
        <v>542</v>
      </c>
      <c r="C99" s="89" t="s">
        <v>1460</v>
      </c>
      <c r="D99" s="89" t="s">
        <v>1461</v>
      </c>
      <c r="E99" s="89" t="s">
        <v>1462</v>
      </c>
      <c r="F99" s="64"/>
      <c r="G99" s="68">
        <v>1.0</v>
      </c>
      <c r="H99" s="67" t="s">
        <v>544</v>
      </c>
      <c r="I99" s="89" t="s">
        <v>1463</v>
      </c>
      <c r="J99" s="89" t="s">
        <v>1461</v>
      </c>
      <c r="K99" s="89" t="s">
        <v>1462</v>
      </c>
      <c r="L99" s="64"/>
      <c r="M99" s="68">
        <v>1.0</v>
      </c>
      <c r="N99" s="67" t="s">
        <v>545</v>
      </c>
      <c r="O99" s="89" t="s">
        <v>1463</v>
      </c>
      <c r="P99" s="89" t="s">
        <v>1461</v>
      </c>
      <c r="Q99" s="89" t="s">
        <v>1462</v>
      </c>
      <c r="R99" s="64"/>
    </row>
    <row r="100">
      <c r="A100" s="68">
        <v>1.0</v>
      </c>
      <c r="B100" s="67" t="s">
        <v>537</v>
      </c>
      <c r="C100" s="89" t="s">
        <v>1460</v>
      </c>
      <c r="D100" s="89" t="s">
        <v>1461</v>
      </c>
      <c r="E100" s="89" t="s">
        <v>1462</v>
      </c>
      <c r="F100" s="64"/>
      <c r="G100" s="68">
        <v>1.0</v>
      </c>
      <c r="H100" s="67" t="s">
        <v>547</v>
      </c>
      <c r="I100" s="89" t="s">
        <v>1463</v>
      </c>
      <c r="J100" s="89" t="s">
        <v>1461</v>
      </c>
      <c r="K100" s="89" t="s">
        <v>1462</v>
      </c>
      <c r="L100" s="64"/>
      <c r="M100" s="68">
        <v>1.0</v>
      </c>
      <c r="N100" s="67" t="s">
        <v>549</v>
      </c>
      <c r="O100" s="89" t="s">
        <v>1463</v>
      </c>
      <c r="P100" s="89" t="s">
        <v>1461</v>
      </c>
      <c r="Q100" s="89" t="s">
        <v>1462</v>
      </c>
      <c r="R100" s="64"/>
    </row>
    <row r="101">
      <c r="A101" s="68">
        <v>1.0</v>
      </c>
      <c r="B101" s="67" t="s">
        <v>537</v>
      </c>
      <c r="C101" s="89" t="s">
        <v>1460</v>
      </c>
      <c r="D101" s="89" t="s">
        <v>1461</v>
      </c>
      <c r="E101" s="89" t="s">
        <v>1462</v>
      </c>
      <c r="F101" s="64"/>
      <c r="G101" s="68">
        <v>1.0</v>
      </c>
      <c r="H101" s="67" t="s">
        <v>551</v>
      </c>
      <c r="I101" s="89" t="s">
        <v>1463</v>
      </c>
      <c r="J101" s="89" t="s">
        <v>1461</v>
      </c>
      <c r="K101" s="89" t="s">
        <v>1462</v>
      </c>
      <c r="L101" s="64"/>
      <c r="M101" s="68">
        <v>1.0</v>
      </c>
      <c r="N101" s="67" t="s">
        <v>552</v>
      </c>
      <c r="O101" s="89" t="s">
        <v>1463</v>
      </c>
      <c r="P101" s="89" t="s">
        <v>1461</v>
      </c>
      <c r="Q101" s="89" t="s">
        <v>1462</v>
      </c>
      <c r="R101" s="64"/>
    </row>
    <row r="102">
      <c r="A102" s="64"/>
      <c r="B102" s="64"/>
      <c r="C102" s="64"/>
      <c r="D102" s="64"/>
      <c r="E102" s="64"/>
      <c r="F102" s="64"/>
      <c r="G102" s="68">
        <v>1.0</v>
      </c>
      <c r="H102" s="67" t="s">
        <v>553</v>
      </c>
      <c r="I102" s="89" t="s">
        <v>1463</v>
      </c>
      <c r="J102" s="89" t="s">
        <v>1461</v>
      </c>
      <c r="K102" s="89" t="s">
        <v>1462</v>
      </c>
      <c r="L102" s="64"/>
      <c r="M102" s="68">
        <v>2.0</v>
      </c>
      <c r="N102" s="67" t="s">
        <v>554</v>
      </c>
      <c r="O102" s="89" t="s">
        <v>1463</v>
      </c>
      <c r="P102" s="89" t="s">
        <v>1461</v>
      </c>
      <c r="Q102" s="89" t="s">
        <v>1462</v>
      </c>
      <c r="R102" s="64"/>
    </row>
    <row r="103">
      <c r="A103" s="64" t="s">
        <v>555</v>
      </c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8">
        <v>1.0</v>
      </c>
      <c r="N103" s="67" t="s">
        <v>556</v>
      </c>
      <c r="O103" s="89" t="s">
        <v>1463</v>
      </c>
      <c r="P103" s="89" t="s">
        <v>1461</v>
      </c>
      <c r="Q103" s="89" t="s">
        <v>1462</v>
      </c>
      <c r="R103" s="64"/>
    </row>
    <row r="104">
      <c r="A104" s="67" t="s">
        <v>45</v>
      </c>
      <c r="B104" s="67" t="s">
        <v>68</v>
      </c>
      <c r="C104" s="65" t="s">
        <v>1457</v>
      </c>
      <c r="D104" s="65" t="s">
        <v>1458</v>
      </c>
      <c r="E104" s="67" t="s">
        <v>1459</v>
      </c>
      <c r="F104" s="64"/>
      <c r="G104" s="64"/>
      <c r="H104" s="64"/>
      <c r="I104" s="64"/>
      <c r="J104" s="64"/>
      <c r="K104" s="64"/>
      <c r="L104" s="64"/>
      <c r="M104" s="68">
        <v>1.0</v>
      </c>
      <c r="N104" s="67" t="s">
        <v>557</v>
      </c>
      <c r="O104" s="89" t="s">
        <v>1463</v>
      </c>
      <c r="P104" s="89" t="s">
        <v>1461</v>
      </c>
      <c r="Q104" s="89" t="s">
        <v>1462</v>
      </c>
      <c r="R104" s="64"/>
    </row>
    <row r="105">
      <c r="A105" s="68">
        <v>1.0</v>
      </c>
      <c r="B105" s="67" t="s">
        <v>558</v>
      </c>
      <c r="C105" s="89" t="s">
        <v>1463</v>
      </c>
      <c r="D105" s="89" t="s">
        <v>1461</v>
      </c>
      <c r="E105" s="89" t="s">
        <v>1462</v>
      </c>
      <c r="F105" s="64"/>
      <c r="G105" s="64" t="s">
        <v>560</v>
      </c>
      <c r="I105" s="64"/>
      <c r="J105" s="64"/>
      <c r="K105" s="64"/>
      <c r="L105" s="64"/>
      <c r="M105" s="68">
        <v>1.0</v>
      </c>
      <c r="N105" s="67" t="s">
        <v>561</v>
      </c>
      <c r="O105" s="89" t="s">
        <v>1463</v>
      </c>
      <c r="P105" s="89" t="s">
        <v>1461</v>
      </c>
      <c r="Q105" s="89" t="s">
        <v>1462</v>
      </c>
      <c r="R105" s="64"/>
    </row>
    <row r="106">
      <c r="A106" s="68">
        <v>1.0</v>
      </c>
      <c r="B106" s="67" t="s">
        <v>558</v>
      </c>
      <c r="C106" s="89" t="s">
        <v>1463</v>
      </c>
      <c r="D106" s="89" t="s">
        <v>1461</v>
      </c>
      <c r="E106" s="89" t="s">
        <v>1462</v>
      </c>
      <c r="F106" s="64"/>
      <c r="G106" s="67" t="s">
        <v>45</v>
      </c>
      <c r="H106" s="67" t="s">
        <v>68</v>
      </c>
      <c r="I106" s="65" t="s">
        <v>1457</v>
      </c>
      <c r="J106" s="65" t="s">
        <v>1458</v>
      </c>
      <c r="K106" s="67" t="s">
        <v>1459</v>
      </c>
      <c r="L106" s="64"/>
      <c r="M106" s="68">
        <v>1.0</v>
      </c>
      <c r="N106" s="67" t="s">
        <v>563</v>
      </c>
      <c r="O106" s="89" t="s">
        <v>1463</v>
      </c>
      <c r="P106" s="89" t="s">
        <v>1461</v>
      </c>
      <c r="Q106" s="89" t="s">
        <v>1462</v>
      </c>
      <c r="R106" s="64"/>
    </row>
    <row r="107">
      <c r="A107" s="64"/>
      <c r="B107" s="64"/>
      <c r="C107" s="64"/>
      <c r="D107" s="71"/>
      <c r="E107" s="64"/>
      <c r="F107" s="64"/>
      <c r="G107" s="68">
        <v>1.0</v>
      </c>
      <c r="H107" s="67" t="s">
        <v>564</v>
      </c>
      <c r="I107" s="89" t="s">
        <v>1463</v>
      </c>
      <c r="J107" s="89" t="s">
        <v>1461</v>
      </c>
      <c r="K107" s="89" t="s">
        <v>1462</v>
      </c>
      <c r="L107" s="64"/>
      <c r="M107" s="68">
        <v>1.0</v>
      </c>
      <c r="N107" s="67" t="s">
        <v>566</v>
      </c>
      <c r="O107" s="89" t="s">
        <v>1463</v>
      </c>
      <c r="P107" s="89" t="s">
        <v>1461</v>
      </c>
      <c r="Q107" s="89" t="s">
        <v>1462</v>
      </c>
      <c r="R107" s="64"/>
    </row>
    <row r="108">
      <c r="A108" s="64" t="s">
        <v>567</v>
      </c>
      <c r="C108" s="64"/>
      <c r="D108" s="64"/>
      <c r="E108" s="64"/>
      <c r="F108" s="64"/>
      <c r="G108" s="68">
        <v>1.0</v>
      </c>
      <c r="H108" s="67" t="s">
        <v>568</v>
      </c>
      <c r="I108" s="89" t="s">
        <v>1463</v>
      </c>
      <c r="J108" s="89" t="s">
        <v>1461</v>
      </c>
      <c r="K108" s="89" t="s">
        <v>1462</v>
      </c>
      <c r="L108" s="64"/>
      <c r="M108" s="68">
        <v>2.0</v>
      </c>
      <c r="N108" s="67" t="s">
        <v>570</v>
      </c>
      <c r="O108" s="89" t="s">
        <v>1463</v>
      </c>
      <c r="P108" s="89" t="s">
        <v>1461</v>
      </c>
      <c r="Q108" s="89" t="s">
        <v>1462</v>
      </c>
      <c r="R108" s="64"/>
    </row>
    <row r="109">
      <c r="A109" s="67" t="s">
        <v>45</v>
      </c>
      <c r="B109" s="67" t="s">
        <v>68</v>
      </c>
      <c r="C109" s="65" t="s">
        <v>1457</v>
      </c>
      <c r="D109" s="65" t="s">
        <v>1458</v>
      </c>
      <c r="E109" s="67" t="s">
        <v>1459</v>
      </c>
      <c r="F109" s="64"/>
      <c r="G109" s="68">
        <v>1.0</v>
      </c>
      <c r="H109" s="67" t="s">
        <v>571</v>
      </c>
      <c r="I109" s="89" t="s">
        <v>1463</v>
      </c>
      <c r="J109" s="89" t="s">
        <v>1461</v>
      </c>
      <c r="K109" s="89" t="s">
        <v>1462</v>
      </c>
      <c r="L109" s="64"/>
      <c r="M109" s="68">
        <v>1.0</v>
      </c>
      <c r="N109" s="67" t="s">
        <v>573</v>
      </c>
      <c r="O109" s="89" t="s">
        <v>1463</v>
      </c>
      <c r="P109" s="89" t="s">
        <v>1461</v>
      </c>
      <c r="Q109" s="89" t="s">
        <v>1462</v>
      </c>
      <c r="R109" s="64"/>
    </row>
    <row r="110">
      <c r="A110" s="68">
        <v>1.0</v>
      </c>
      <c r="B110" s="67" t="s">
        <v>574</v>
      </c>
      <c r="C110" s="89" t="s">
        <v>1463</v>
      </c>
      <c r="D110" s="89" t="s">
        <v>1461</v>
      </c>
      <c r="E110" s="89" t="s">
        <v>1469</v>
      </c>
      <c r="F110" s="64"/>
      <c r="G110" s="68">
        <v>1.0</v>
      </c>
      <c r="H110" s="67" t="s">
        <v>576</v>
      </c>
      <c r="I110" s="89" t="s">
        <v>1463</v>
      </c>
      <c r="J110" s="89" t="s">
        <v>1461</v>
      </c>
      <c r="K110" s="89" t="s">
        <v>1462</v>
      </c>
      <c r="L110" s="64"/>
      <c r="M110" s="68">
        <v>1.0</v>
      </c>
      <c r="N110" s="67" t="s">
        <v>577</v>
      </c>
      <c r="O110" s="89" t="s">
        <v>1463</v>
      </c>
      <c r="P110" s="89" t="s">
        <v>1461</v>
      </c>
      <c r="Q110" s="89" t="s">
        <v>1462</v>
      </c>
      <c r="R110" s="64"/>
    </row>
    <row r="111">
      <c r="A111" s="68">
        <v>1.0</v>
      </c>
      <c r="B111" s="67" t="s">
        <v>578</v>
      </c>
      <c r="C111" s="89" t="s">
        <v>1463</v>
      </c>
      <c r="D111" s="89" t="s">
        <v>1461</v>
      </c>
      <c r="E111" s="89" t="s">
        <v>1469</v>
      </c>
      <c r="F111" s="64"/>
      <c r="G111" s="64"/>
      <c r="H111" s="64"/>
      <c r="I111" s="64"/>
      <c r="J111" s="64"/>
      <c r="K111" s="64"/>
      <c r="L111" s="64"/>
      <c r="M111" s="68">
        <v>1.0</v>
      </c>
      <c r="N111" s="67" t="s">
        <v>580</v>
      </c>
      <c r="O111" s="89" t="s">
        <v>1463</v>
      </c>
      <c r="P111" s="89" t="s">
        <v>1461</v>
      </c>
      <c r="Q111" s="89" t="s">
        <v>1462</v>
      </c>
      <c r="R111" s="64"/>
    </row>
    <row r="112">
      <c r="A112" s="68">
        <v>1.0</v>
      </c>
      <c r="B112" s="67" t="s">
        <v>574</v>
      </c>
      <c r="C112" s="89" t="s">
        <v>1463</v>
      </c>
      <c r="D112" s="89" t="s">
        <v>1461</v>
      </c>
      <c r="E112" s="89" t="s">
        <v>1469</v>
      </c>
      <c r="F112" s="64"/>
      <c r="G112" s="64"/>
      <c r="H112" s="64"/>
      <c r="I112" s="64"/>
      <c r="J112" s="64"/>
      <c r="K112" s="64"/>
      <c r="L112" s="64"/>
      <c r="M112" s="68">
        <v>2.0</v>
      </c>
      <c r="N112" s="67" t="s">
        <v>582</v>
      </c>
      <c r="O112" s="89" t="s">
        <v>1463</v>
      </c>
      <c r="P112" s="89" t="s">
        <v>1461</v>
      </c>
      <c r="Q112" s="89" t="s">
        <v>1462</v>
      </c>
      <c r="R112" s="64"/>
    </row>
    <row r="113">
      <c r="A113" s="68">
        <v>1.0</v>
      </c>
      <c r="B113" s="67" t="s">
        <v>574</v>
      </c>
      <c r="C113" s="89" t="s">
        <v>1463</v>
      </c>
      <c r="D113" s="89" t="s">
        <v>1461</v>
      </c>
      <c r="E113" s="89" t="s">
        <v>1469</v>
      </c>
      <c r="F113" s="64"/>
      <c r="G113" s="64" t="s">
        <v>584</v>
      </c>
      <c r="I113" s="64"/>
      <c r="J113" s="64"/>
      <c r="K113" s="64"/>
      <c r="L113" s="64"/>
      <c r="M113" s="68">
        <v>1.0</v>
      </c>
      <c r="N113" s="67" t="s">
        <v>585</v>
      </c>
      <c r="O113" s="89" t="s">
        <v>1463</v>
      </c>
      <c r="P113" s="89" t="s">
        <v>1461</v>
      </c>
      <c r="Q113" s="89" t="s">
        <v>1462</v>
      </c>
      <c r="R113" s="64"/>
    </row>
    <row r="114">
      <c r="A114" s="68">
        <v>1.0</v>
      </c>
      <c r="B114" s="67" t="s">
        <v>578</v>
      </c>
      <c r="C114" s="89" t="s">
        <v>1463</v>
      </c>
      <c r="D114" s="89" t="s">
        <v>1461</v>
      </c>
      <c r="E114" s="89" t="s">
        <v>1469</v>
      </c>
      <c r="F114" s="64"/>
      <c r="G114" s="67" t="s">
        <v>45</v>
      </c>
      <c r="H114" s="67" t="s">
        <v>68</v>
      </c>
      <c r="I114" s="65" t="s">
        <v>1457</v>
      </c>
      <c r="J114" s="65" t="s">
        <v>1458</v>
      </c>
      <c r="K114" s="67" t="s">
        <v>1459</v>
      </c>
      <c r="L114" s="64"/>
      <c r="M114" s="68">
        <v>1.0</v>
      </c>
      <c r="N114" s="67" t="s">
        <v>587</v>
      </c>
      <c r="O114" s="89" t="s">
        <v>1463</v>
      </c>
      <c r="P114" s="89" t="s">
        <v>1461</v>
      </c>
      <c r="Q114" s="89" t="s">
        <v>1462</v>
      </c>
      <c r="R114" s="64"/>
    </row>
    <row r="115">
      <c r="A115" s="68">
        <v>1.0</v>
      </c>
      <c r="B115" s="67" t="s">
        <v>574</v>
      </c>
      <c r="C115" s="89" t="s">
        <v>1463</v>
      </c>
      <c r="D115" s="89" t="s">
        <v>1461</v>
      </c>
      <c r="E115" s="89" t="s">
        <v>1469</v>
      </c>
      <c r="F115" s="64"/>
      <c r="G115" s="68">
        <v>9.0</v>
      </c>
      <c r="H115" s="67" t="s">
        <v>589</v>
      </c>
      <c r="I115" s="89" t="s">
        <v>1460</v>
      </c>
      <c r="J115" s="89" t="s">
        <v>1461</v>
      </c>
      <c r="K115" s="89" t="s">
        <v>1462</v>
      </c>
      <c r="L115" s="64"/>
      <c r="M115" s="68">
        <v>1.0</v>
      </c>
      <c r="N115" s="67" t="s">
        <v>591</v>
      </c>
      <c r="O115" s="89" t="s">
        <v>1463</v>
      </c>
      <c r="P115" s="89" t="s">
        <v>1461</v>
      </c>
      <c r="Q115" s="89" t="s">
        <v>1462</v>
      </c>
      <c r="R115" s="64"/>
    </row>
    <row r="116">
      <c r="A116" s="68">
        <v>1.0</v>
      </c>
      <c r="B116" s="67" t="s">
        <v>578</v>
      </c>
      <c r="C116" s="89" t="s">
        <v>1463</v>
      </c>
      <c r="D116" s="89" t="s">
        <v>1461</v>
      </c>
      <c r="E116" s="89" t="s">
        <v>1469</v>
      </c>
      <c r="F116" s="64"/>
      <c r="G116" s="68">
        <v>10.0</v>
      </c>
      <c r="H116" s="67" t="s">
        <v>589</v>
      </c>
      <c r="I116" s="89" t="s">
        <v>1460</v>
      </c>
      <c r="J116" s="89" t="s">
        <v>1461</v>
      </c>
      <c r="K116" s="89" t="s">
        <v>1462</v>
      </c>
      <c r="L116" s="64"/>
      <c r="M116" s="68">
        <v>1.0</v>
      </c>
      <c r="N116" s="67" t="s">
        <v>593</v>
      </c>
      <c r="O116" s="89" t="s">
        <v>1463</v>
      </c>
      <c r="P116" s="89" t="s">
        <v>1461</v>
      </c>
      <c r="Q116" s="89" t="s">
        <v>1462</v>
      </c>
      <c r="R116" s="64"/>
    </row>
    <row r="117">
      <c r="A117" s="68">
        <v>1.0</v>
      </c>
      <c r="B117" s="67" t="s">
        <v>594</v>
      </c>
      <c r="C117" s="89" t="s">
        <v>1463</v>
      </c>
      <c r="D117" s="89" t="s">
        <v>1461</v>
      </c>
      <c r="E117" s="89" t="s">
        <v>1469</v>
      </c>
      <c r="F117" s="64"/>
      <c r="G117" s="68">
        <v>1.0</v>
      </c>
      <c r="H117" s="67" t="s">
        <v>596</v>
      </c>
      <c r="I117" s="89" t="s">
        <v>1460</v>
      </c>
      <c r="J117" s="89" t="s">
        <v>1461</v>
      </c>
      <c r="K117" s="89" t="s">
        <v>1462</v>
      </c>
      <c r="L117" s="64"/>
      <c r="M117" s="68">
        <v>1.0</v>
      </c>
      <c r="N117" s="67" t="s">
        <v>597</v>
      </c>
      <c r="O117" s="89" t="s">
        <v>1463</v>
      </c>
      <c r="P117" s="89" t="s">
        <v>1461</v>
      </c>
      <c r="Q117" s="89" t="s">
        <v>1462</v>
      </c>
      <c r="R117" s="64"/>
    </row>
    <row r="118">
      <c r="A118" s="68">
        <v>1.0</v>
      </c>
      <c r="B118" s="67" t="s">
        <v>574</v>
      </c>
      <c r="C118" s="89" t="s">
        <v>1463</v>
      </c>
      <c r="D118" s="89" t="s">
        <v>1461</v>
      </c>
      <c r="E118" s="89" t="s">
        <v>1469</v>
      </c>
      <c r="F118" s="64"/>
      <c r="G118" s="68">
        <v>5.0</v>
      </c>
      <c r="H118" s="67" t="s">
        <v>596</v>
      </c>
      <c r="I118" s="89" t="s">
        <v>1460</v>
      </c>
      <c r="J118" s="89" t="s">
        <v>1461</v>
      </c>
      <c r="K118" s="89" t="s">
        <v>1462</v>
      </c>
      <c r="L118" s="64"/>
      <c r="M118" s="68">
        <v>2.0</v>
      </c>
      <c r="N118" s="67" t="s">
        <v>599</v>
      </c>
      <c r="O118" s="89" t="s">
        <v>1463</v>
      </c>
      <c r="P118" s="89" t="s">
        <v>1461</v>
      </c>
      <c r="Q118" s="89" t="s">
        <v>1462</v>
      </c>
      <c r="R118" s="64"/>
    </row>
    <row r="119">
      <c r="A119" s="68">
        <v>1.0</v>
      </c>
      <c r="B119" s="67" t="s">
        <v>574</v>
      </c>
      <c r="C119" s="89" t="s">
        <v>1463</v>
      </c>
      <c r="D119" s="89" t="s">
        <v>1461</v>
      </c>
      <c r="E119" s="89" t="s">
        <v>1469</v>
      </c>
      <c r="F119" s="64"/>
      <c r="G119" s="64"/>
      <c r="H119" s="64"/>
      <c r="I119" s="64"/>
      <c r="J119" s="64"/>
      <c r="K119" s="64"/>
      <c r="L119" s="64"/>
      <c r="M119" s="68">
        <v>1.0</v>
      </c>
      <c r="N119" s="67" t="s">
        <v>601</v>
      </c>
      <c r="O119" s="89" t="s">
        <v>1463</v>
      </c>
      <c r="P119" s="89" t="s">
        <v>1461</v>
      </c>
      <c r="Q119" s="89" t="s">
        <v>1462</v>
      </c>
      <c r="R119" s="64"/>
    </row>
    <row r="120">
      <c r="A120" s="68">
        <v>1.0</v>
      </c>
      <c r="B120" s="67" t="s">
        <v>578</v>
      </c>
      <c r="C120" s="89" t="s">
        <v>1463</v>
      </c>
      <c r="D120" s="89" t="s">
        <v>1461</v>
      </c>
      <c r="E120" s="89" t="s">
        <v>1469</v>
      </c>
      <c r="F120" s="64"/>
      <c r="G120" s="64"/>
      <c r="H120" s="64"/>
      <c r="I120" s="64"/>
      <c r="J120" s="64"/>
      <c r="K120" s="64"/>
      <c r="L120" s="64"/>
      <c r="M120" s="68">
        <v>1.0</v>
      </c>
      <c r="N120" s="67" t="s">
        <v>603</v>
      </c>
      <c r="O120" s="89" t="s">
        <v>1463</v>
      </c>
      <c r="P120" s="89" t="s">
        <v>1461</v>
      </c>
      <c r="Q120" s="89" t="s">
        <v>1462</v>
      </c>
      <c r="R120" s="64"/>
    </row>
    <row r="121">
      <c r="A121" s="68">
        <v>1.0</v>
      </c>
      <c r="B121" s="67" t="s">
        <v>578</v>
      </c>
      <c r="C121" s="89" t="s">
        <v>1463</v>
      </c>
      <c r="D121" s="89" t="s">
        <v>1461</v>
      </c>
      <c r="E121" s="89" t="s">
        <v>1469</v>
      </c>
      <c r="F121" s="64"/>
      <c r="G121" s="64" t="s">
        <v>605</v>
      </c>
      <c r="I121" s="64"/>
      <c r="J121" s="64"/>
      <c r="K121" s="64"/>
      <c r="L121" s="64"/>
      <c r="M121" s="68">
        <v>1.0</v>
      </c>
      <c r="N121" s="67" t="s">
        <v>606</v>
      </c>
      <c r="O121" s="89" t="s">
        <v>1463</v>
      </c>
      <c r="P121" s="89" t="s">
        <v>1461</v>
      </c>
      <c r="Q121" s="89" t="s">
        <v>1462</v>
      </c>
      <c r="R121" s="64"/>
    </row>
    <row r="122">
      <c r="A122" s="68">
        <v>2.0</v>
      </c>
      <c r="B122" s="67" t="s">
        <v>574</v>
      </c>
      <c r="C122" s="89" t="s">
        <v>1463</v>
      </c>
      <c r="D122" s="89" t="s">
        <v>1461</v>
      </c>
      <c r="E122" s="89" t="s">
        <v>1469</v>
      </c>
      <c r="F122" s="64"/>
      <c r="G122" s="67" t="s">
        <v>45</v>
      </c>
      <c r="H122" s="67" t="s">
        <v>68</v>
      </c>
      <c r="I122" s="65" t="s">
        <v>1457</v>
      </c>
      <c r="J122" s="65" t="s">
        <v>1458</v>
      </c>
      <c r="K122" s="67" t="s">
        <v>1459</v>
      </c>
      <c r="L122" s="64"/>
      <c r="M122" s="68">
        <v>1.0</v>
      </c>
      <c r="N122" s="67" t="s">
        <v>608</v>
      </c>
      <c r="O122" s="89" t="s">
        <v>1463</v>
      </c>
      <c r="P122" s="89" t="s">
        <v>1461</v>
      </c>
      <c r="Q122" s="89" t="s">
        <v>1462</v>
      </c>
      <c r="R122" s="64"/>
    </row>
    <row r="123">
      <c r="A123" s="68">
        <v>1.0</v>
      </c>
      <c r="B123" s="67" t="s">
        <v>578</v>
      </c>
      <c r="C123" s="89" t="s">
        <v>1463</v>
      </c>
      <c r="D123" s="89" t="s">
        <v>1461</v>
      </c>
      <c r="E123" s="89" t="s">
        <v>1469</v>
      </c>
      <c r="F123" s="64"/>
      <c r="G123" s="68">
        <v>1.0</v>
      </c>
      <c r="H123" s="67" t="s">
        <v>610</v>
      </c>
      <c r="I123" s="89" t="s">
        <v>1463</v>
      </c>
      <c r="J123" s="89" t="s">
        <v>1461</v>
      </c>
      <c r="K123" s="89" t="s">
        <v>1462</v>
      </c>
      <c r="L123" s="64"/>
      <c r="M123" s="68">
        <v>1.0</v>
      </c>
      <c r="N123" s="67" t="s">
        <v>612</v>
      </c>
      <c r="O123" s="89" t="s">
        <v>1463</v>
      </c>
      <c r="P123" s="89" t="s">
        <v>1461</v>
      </c>
      <c r="Q123" s="89" t="s">
        <v>1462</v>
      </c>
      <c r="R123" s="64"/>
    </row>
    <row r="124">
      <c r="A124" s="68">
        <v>1.0</v>
      </c>
      <c r="B124" s="67" t="s">
        <v>574</v>
      </c>
      <c r="C124" s="89" t="s">
        <v>1463</v>
      </c>
      <c r="D124" s="89" t="s">
        <v>1461</v>
      </c>
      <c r="E124" s="89" t="s">
        <v>1469</v>
      </c>
      <c r="F124" s="64"/>
      <c r="G124" s="68">
        <v>1.0</v>
      </c>
      <c r="H124" s="67" t="s">
        <v>614</v>
      </c>
      <c r="I124" s="89" t="s">
        <v>1463</v>
      </c>
      <c r="J124" s="89" t="s">
        <v>1461</v>
      </c>
      <c r="K124" s="89" t="s">
        <v>1462</v>
      </c>
      <c r="L124" s="64"/>
      <c r="M124" s="64"/>
      <c r="N124" s="64"/>
      <c r="O124" s="64"/>
      <c r="P124" s="64"/>
      <c r="Q124" s="64"/>
      <c r="R124" s="64"/>
    </row>
    <row r="125">
      <c r="A125" s="68">
        <v>1.0</v>
      </c>
      <c r="B125" s="67" t="s">
        <v>574</v>
      </c>
      <c r="C125" s="89" t="s">
        <v>1463</v>
      </c>
      <c r="D125" s="89" t="s">
        <v>1461</v>
      </c>
      <c r="E125" s="89" t="s">
        <v>1469</v>
      </c>
      <c r="F125" s="64"/>
      <c r="G125" s="68">
        <v>1.0</v>
      </c>
      <c r="H125" s="67" t="s">
        <v>617</v>
      </c>
      <c r="I125" s="89" t="s">
        <v>1463</v>
      </c>
      <c r="J125" s="89" t="s">
        <v>1461</v>
      </c>
      <c r="K125" s="89" t="s">
        <v>1462</v>
      </c>
      <c r="L125" s="64"/>
      <c r="M125" s="64"/>
      <c r="N125" s="64"/>
      <c r="O125" s="64"/>
      <c r="P125" s="64"/>
      <c r="Q125" s="64"/>
      <c r="R125" s="64"/>
    </row>
    <row r="126">
      <c r="A126" s="68">
        <v>1.0</v>
      </c>
      <c r="B126" s="67" t="s">
        <v>619</v>
      </c>
      <c r="C126" s="89" t="s">
        <v>1463</v>
      </c>
      <c r="D126" s="89" t="s">
        <v>1461</v>
      </c>
      <c r="E126" s="89" t="s">
        <v>1469</v>
      </c>
      <c r="F126" s="64"/>
      <c r="G126" s="68">
        <v>1.0</v>
      </c>
      <c r="H126" s="67" t="s">
        <v>621</v>
      </c>
      <c r="I126" s="89" t="s">
        <v>1463</v>
      </c>
      <c r="J126" s="89" t="s">
        <v>1461</v>
      </c>
      <c r="K126" s="89" t="s">
        <v>1462</v>
      </c>
      <c r="L126" s="64"/>
      <c r="M126" s="64" t="s">
        <v>623</v>
      </c>
      <c r="O126" s="64"/>
      <c r="P126" s="64"/>
      <c r="Q126" s="64"/>
      <c r="R126" s="64"/>
    </row>
    <row r="127">
      <c r="A127" s="68">
        <v>1.0</v>
      </c>
      <c r="B127" s="67" t="s">
        <v>574</v>
      </c>
      <c r="C127" s="89" t="s">
        <v>1463</v>
      </c>
      <c r="D127" s="89" t="s">
        <v>1461</v>
      </c>
      <c r="E127" s="89" t="s">
        <v>1469</v>
      </c>
      <c r="F127" s="64"/>
      <c r="G127" s="68">
        <v>1.0</v>
      </c>
      <c r="H127" s="67" t="s">
        <v>625</v>
      </c>
      <c r="I127" s="89" t="s">
        <v>1463</v>
      </c>
      <c r="J127" s="89" t="s">
        <v>1461</v>
      </c>
      <c r="K127" s="89" t="s">
        <v>1462</v>
      </c>
      <c r="L127" s="64"/>
      <c r="M127" s="67" t="s">
        <v>45</v>
      </c>
      <c r="N127" s="67" t="s">
        <v>68</v>
      </c>
      <c r="O127" s="65" t="s">
        <v>1457</v>
      </c>
      <c r="P127" s="65" t="s">
        <v>1458</v>
      </c>
      <c r="Q127" s="67" t="s">
        <v>1459</v>
      </c>
      <c r="R127" s="64"/>
    </row>
    <row r="128">
      <c r="A128" s="64"/>
      <c r="B128" s="64"/>
      <c r="C128" s="64"/>
      <c r="D128" s="64"/>
      <c r="E128" s="64"/>
      <c r="F128" s="64"/>
      <c r="G128" s="68">
        <v>1.0</v>
      </c>
      <c r="H128" s="67" t="s">
        <v>626</v>
      </c>
      <c r="I128" s="89" t="s">
        <v>1463</v>
      </c>
      <c r="J128" s="89" t="s">
        <v>1461</v>
      </c>
      <c r="K128" s="89" t="s">
        <v>1462</v>
      </c>
      <c r="L128" s="64"/>
      <c r="M128" s="68">
        <v>1.0</v>
      </c>
      <c r="N128" s="67" t="s">
        <v>627</v>
      </c>
      <c r="O128" s="89" t="s">
        <v>1463</v>
      </c>
      <c r="P128" s="89" t="s">
        <v>1461</v>
      </c>
      <c r="Q128" s="89" t="s">
        <v>1462</v>
      </c>
      <c r="R128" s="64"/>
    </row>
    <row r="129">
      <c r="A129" s="64" t="s">
        <v>628</v>
      </c>
      <c r="C129" s="64"/>
      <c r="D129" s="64"/>
      <c r="E129" s="64"/>
      <c r="F129" s="64"/>
      <c r="G129" s="68">
        <v>1.0</v>
      </c>
      <c r="H129" s="67" t="s">
        <v>629</v>
      </c>
      <c r="I129" s="89" t="s">
        <v>1463</v>
      </c>
      <c r="J129" s="89" t="s">
        <v>1461</v>
      </c>
      <c r="K129" s="89" t="s">
        <v>1462</v>
      </c>
      <c r="L129" s="64"/>
      <c r="M129" s="64"/>
      <c r="N129" s="64"/>
      <c r="O129" s="64"/>
      <c r="P129" s="64"/>
      <c r="Q129" s="64"/>
      <c r="R129" s="64"/>
    </row>
    <row r="130">
      <c r="A130" s="67" t="s">
        <v>45</v>
      </c>
      <c r="B130" s="67" t="s">
        <v>68</v>
      </c>
      <c r="C130" s="65" t="s">
        <v>1457</v>
      </c>
      <c r="D130" s="65" t="s">
        <v>1458</v>
      </c>
      <c r="E130" s="67" t="s">
        <v>1459</v>
      </c>
      <c r="F130" s="64"/>
      <c r="G130" s="68">
        <v>1.0</v>
      </c>
      <c r="H130" s="67" t="s">
        <v>630</v>
      </c>
      <c r="I130" s="89" t="s">
        <v>1463</v>
      </c>
      <c r="J130" s="89" t="s">
        <v>1461</v>
      </c>
      <c r="K130" s="89" t="s">
        <v>1462</v>
      </c>
      <c r="L130" s="64"/>
      <c r="M130" s="64" t="s">
        <v>631</v>
      </c>
      <c r="O130" s="64"/>
      <c r="P130" s="64"/>
      <c r="Q130" s="64"/>
      <c r="R130" s="64"/>
    </row>
    <row r="131">
      <c r="A131" s="68">
        <v>1.0</v>
      </c>
      <c r="B131" s="67" t="s">
        <v>632</v>
      </c>
      <c r="C131" s="89" t="s">
        <v>1463</v>
      </c>
      <c r="D131" s="89" t="s">
        <v>1461</v>
      </c>
      <c r="E131" s="89" t="s">
        <v>1462</v>
      </c>
      <c r="F131" s="64"/>
      <c r="G131" s="68">
        <v>1.0</v>
      </c>
      <c r="H131" s="67" t="s">
        <v>633</v>
      </c>
      <c r="I131" s="89" t="s">
        <v>1463</v>
      </c>
      <c r="J131" s="89" t="s">
        <v>1461</v>
      </c>
      <c r="K131" s="89" t="s">
        <v>1462</v>
      </c>
      <c r="L131" s="64"/>
      <c r="M131" s="67" t="s">
        <v>45</v>
      </c>
      <c r="N131" s="67" t="s">
        <v>68</v>
      </c>
      <c r="O131" s="65" t="s">
        <v>1457</v>
      </c>
      <c r="P131" s="65" t="s">
        <v>1458</v>
      </c>
      <c r="Q131" s="67" t="s">
        <v>1459</v>
      </c>
      <c r="R131" s="64"/>
    </row>
    <row r="132">
      <c r="A132" s="68">
        <v>1.0</v>
      </c>
      <c r="B132" s="67" t="s">
        <v>635</v>
      </c>
      <c r="C132" s="89" t="s">
        <v>1463</v>
      </c>
      <c r="D132" s="89" t="s">
        <v>1461</v>
      </c>
      <c r="E132" s="89" t="s">
        <v>1462</v>
      </c>
      <c r="F132" s="64"/>
      <c r="G132" s="68">
        <v>1.0</v>
      </c>
      <c r="H132" s="67" t="s">
        <v>636</v>
      </c>
      <c r="I132" s="89" t="s">
        <v>1463</v>
      </c>
      <c r="J132" s="89" t="s">
        <v>1461</v>
      </c>
      <c r="K132" s="89" t="s">
        <v>1462</v>
      </c>
      <c r="L132" s="64"/>
      <c r="M132" s="68">
        <v>1.0</v>
      </c>
      <c r="N132" s="67" t="s">
        <v>638</v>
      </c>
      <c r="O132" s="89" t="s">
        <v>1463</v>
      </c>
      <c r="P132" s="89" t="s">
        <v>1461</v>
      </c>
      <c r="Q132" s="89" t="s">
        <v>1462</v>
      </c>
      <c r="R132" s="64"/>
    </row>
    <row r="133">
      <c r="A133" s="68">
        <v>1.0</v>
      </c>
      <c r="B133" s="67" t="s">
        <v>639</v>
      </c>
      <c r="C133" s="89" t="s">
        <v>1463</v>
      </c>
      <c r="D133" s="89" t="s">
        <v>1461</v>
      </c>
      <c r="E133" s="89" t="s">
        <v>1462</v>
      </c>
      <c r="F133" s="64"/>
      <c r="G133" s="68">
        <v>1.0</v>
      </c>
      <c r="H133" s="67" t="s">
        <v>640</v>
      </c>
      <c r="I133" s="89" t="s">
        <v>1463</v>
      </c>
      <c r="J133" s="89" t="s">
        <v>1461</v>
      </c>
      <c r="K133" s="89" t="s">
        <v>1462</v>
      </c>
      <c r="L133" s="64"/>
      <c r="M133" s="68">
        <v>1.0</v>
      </c>
      <c r="N133" s="67" t="s">
        <v>641</v>
      </c>
      <c r="O133" s="89" t="s">
        <v>1463</v>
      </c>
      <c r="P133" s="89" t="s">
        <v>1461</v>
      </c>
      <c r="Q133" s="89" t="s">
        <v>1462</v>
      </c>
      <c r="R133" s="64"/>
    </row>
    <row r="134">
      <c r="A134" s="68">
        <v>1.0</v>
      </c>
      <c r="B134" s="67" t="s">
        <v>642</v>
      </c>
      <c r="C134" s="89" t="s">
        <v>1463</v>
      </c>
      <c r="D134" s="89" t="s">
        <v>1461</v>
      </c>
      <c r="E134" s="89" t="s">
        <v>1462</v>
      </c>
      <c r="F134" s="64"/>
      <c r="G134" s="68">
        <v>1.0</v>
      </c>
      <c r="H134" s="67" t="s">
        <v>643</v>
      </c>
      <c r="I134" s="89" t="s">
        <v>1463</v>
      </c>
      <c r="J134" s="89" t="s">
        <v>1461</v>
      </c>
      <c r="K134" s="89" t="s">
        <v>1462</v>
      </c>
      <c r="L134" s="64"/>
      <c r="M134" s="68">
        <v>1.0</v>
      </c>
      <c r="N134" s="67" t="s">
        <v>644</v>
      </c>
      <c r="O134" s="89" t="s">
        <v>1463</v>
      </c>
      <c r="P134" s="89" t="s">
        <v>1461</v>
      </c>
      <c r="Q134" s="89" t="s">
        <v>1462</v>
      </c>
      <c r="R134" s="64"/>
    </row>
    <row r="135">
      <c r="A135" s="68">
        <v>1.0</v>
      </c>
      <c r="B135" s="67" t="s">
        <v>645</v>
      </c>
      <c r="C135" s="89" t="s">
        <v>1463</v>
      </c>
      <c r="D135" s="89" t="s">
        <v>1461</v>
      </c>
      <c r="E135" s="89" t="s">
        <v>1462</v>
      </c>
      <c r="F135" s="64"/>
      <c r="G135" s="68">
        <v>1.0</v>
      </c>
      <c r="H135" s="67" t="s">
        <v>646</v>
      </c>
      <c r="I135" s="89" t="s">
        <v>1463</v>
      </c>
      <c r="J135" s="89" t="s">
        <v>1461</v>
      </c>
      <c r="K135" s="89" t="s">
        <v>1462</v>
      </c>
      <c r="L135" s="64"/>
      <c r="M135" s="68">
        <v>1.0</v>
      </c>
      <c r="N135" s="67" t="s">
        <v>647</v>
      </c>
      <c r="O135" s="89" t="s">
        <v>1463</v>
      </c>
      <c r="P135" s="89" t="s">
        <v>1461</v>
      </c>
      <c r="Q135" s="89" t="s">
        <v>1462</v>
      </c>
      <c r="R135" s="64"/>
    </row>
    <row r="136">
      <c r="A136" s="68">
        <v>1.0</v>
      </c>
      <c r="B136" s="67" t="s">
        <v>648</v>
      </c>
      <c r="C136" s="89" t="s">
        <v>1463</v>
      </c>
      <c r="D136" s="89" t="s">
        <v>1461</v>
      </c>
      <c r="E136" s="89" t="s">
        <v>1462</v>
      </c>
      <c r="F136" s="64"/>
      <c r="G136" s="68">
        <v>1.0</v>
      </c>
      <c r="H136" s="67" t="s">
        <v>649</v>
      </c>
      <c r="I136" s="89" t="s">
        <v>1463</v>
      </c>
      <c r="J136" s="89" t="s">
        <v>1461</v>
      </c>
      <c r="K136" s="89" t="s">
        <v>1462</v>
      </c>
      <c r="L136" s="64"/>
      <c r="M136" s="68">
        <v>1.0</v>
      </c>
      <c r="N136" s="67" t="s">
        <v>650</v>
      </c>
      <c r="O136" s="89" t="s">
        <v>1463</v>
      </c>
      <c r="P136" s="89" t="s">
        <v>1461</v>
      </c>
      <c r="Q136" s="89" t="s">
        <v>1462</v>
      </c>
      <c r="R136" s="64"/>
    </row>
    <row r="137">
      <c r="A137" s="68">
        <v>1.0</v>
      </c>
      <c r="B137" s="67" t="s">
        <v>651</v>
      </c>
      <c r="C137" s="89" t="s">
        <v>1463</v>
      </c>
      <c r="D137" s="89" t="s">
        <v>1461</v>
      </c>
      <c r="E137" s="89" t="s">
        <v>1462</v>
      </c>
      <c r="F137" s="64"/>
      <c r="G137" s="68">
        <v>1.0</v>
      </c>
      <c r="H137" s="67" t="s">
        <v>652</v>
      </c>
      <c r="I137" s="89" t="s">
        <v>1463</v>
      </c>
      <c r="J137" s="89" t="s">
        <v>1461</v>
      </c>
      <c r="K137" s="89" t="s">
        <v>1462</v>
      </c>
      <c r="L137" s="64"/>
      <c r="M137" s="68">
        <v>1.0</v>
      </c>
      <c r="N137" s="67" t="s">
        <v>653</v>
      </c>
      <c r="O137" s="89" t="s">
        <v>1463</v>
      </c>
      <c r="P137" s="89" t="s">
        <v>1461</v>
      </c>
      <c r="Q137" s="89" t="s">
        <v>1462</v>
      </c>
      <c r="R137" s="64"/>
    </row>
    <row r="138">
      <c r="A138" s="68">
        <v>1.0</v>
      </c>
      <c r="B138" s="67" t="s">
        <v>654</v>
      </c>
      <c r="C138" s="89" t="s">
        <v>1463</v>
      </c>
      <c r="D138" s="89" t="s">
        <v>1461</v>
      </c>
      <c r="E138" s="89" t="s">
        <v>1462</v>
      </c>
      <c r="F138" s="64"/>
      <c r="G138" s="68">
        <v>1.0</v>
      </c>
      <c r="H138" s="67" t="s">
        <v>655</v>
      </c>
      <c r="I138" s="89" t="s">
        <v>1463</v>
      </c>
      <c r="J138" s="89" t="s">
        <v>1461</v>
      </c>
      <c r="K138" s="89" t="s">
        <v>1462</v>
      </c>
      <c r="L138" s="64"/>
      <c r="M138" s="68">
        <v>1.0</v>
      </c>
      <c r="N138" s="67" t="s">
        <v>656</v>
      </c>
      <c r="O138" s="89" t="s">
        <v>1463</v>
      </c>
      <c r="P138" s="89" t="s">
        <v>1461</v>
      </c>
      <c r="Q138" s="89" t="s">
        <v>1462</v>
      </c>
      <c r="R138" s="64"/>
    </row>
    <row r="139">
      <c r="A139" s="68">
        <v>1.0</v>
      </c>
      <c r="B139" s="67" t="s">
        <v>657</v>
      </c>
      <c r="C139" s="89" t="s">
        <v>1463</v>
      </c>
      <c r="D139" s="89" t="s">
        <v>1461</v>
      </c>
      <c r="E139" s="89" t="s">
        <v>1462</v>
      </c>
      <c r="F139" s="64"/>
      <c r="G139" s="68">
        <v>1.0</v>
      </c>
      <c r="H139" s="67" t="s">
        <v>658</v>
      </c>
      <c r="I139" s="89" t="s">
        <v>1463</v>
      </c>
      <c r="J139" s="89" t="s">
        <v>1461</v>
      </c>
      <c r="K139" s="89" t="s">
        <v>1462</v>
      </c>
      <c r="L139" s="64"/>
      <c r="M139" s="68">
        <v>1.0</v>
      </c>
      <c r="N139" s="67" t="s">
        <v>659</v>
      </c>
      <c r="O139" s="89" t="s">
        <v>1463</v>
      </c>
      <c r="P139" s="89" t="s">
        <v>1461</v>
      </c>
      <c r="Q139" s="89" t="s">
        <v>1462</v>
      </c>
      <c r="R139" s="64"/>
    </row>
    <row r="140">
      <c r="A140" s="68">
        <v>1.0</v>
      </c>
      <c r="B140" s="67" t="s">
        <v>660</v>
      </c>
      <c r="C140" s="89" t="s">
        <v>1463</v>
      </c>
      <c r="D140" s="89" t="s">
        <v>1461</v>
      </c>
      <c r="E140" s="89" t="s">
        <v>1462</v>
      </c>
      <c r="F140" s="64"/>
      <c r="G140" s="68">
        <v>1.0</v>
      </c>
      <c r="H140" s="67" t="s">
        <v>661</v>
      </c>
      <c r="I140" s="89" t="s">
        <v>1463</v>
      </c>
      <c r="J140" s="89" t="s">
        <v>1461</v>
      </c>
      <c r="K140" s="89" t="s">
        <v>1462</v>
      </c>
      <c r="L140" s="64"/>
      <c r="M140" s="68">
        <v>1.0</v>
      </c>
      <c r="N140" s="67" t="s">
        <v>662</v>
      </c>
      <c r="O140" s="89" t="s">
        <v>1463</v>
      </c>
      <c r="P140" s="89" t="s">
        <v>1461</v>
      </c>
      <c r="Q140" s="89" t="s">
        <v>1462</v>
      </c>
      <c r="R140" s="64"/>
    </row>
    <row r="141">
      <c r="A141" s="68">
        <v>1.0</v>
      </c>
      <c r="B141" s="67" t="s">
        <v>663</v>
      </c>
      <c r="C141" s="89" t="s">
        <v>1463</v>
      </c>
      <c r="D141" s="89" t="s">
        <v>1461</v>
      </c>
      <c r="E141" s="89" t="s">
        <v>1462</v>
      </c>
      <c r="F141" s="64"/>
      <c r="G141" s="68">
        <v>1.0</v>
      </c>
      <c r="H141" s="67" t="s">
        <v>664</v>
      </c>
      <c r="I141" s="89" t="s">
        <v>1463</v>
      </c>
      <c r="J141" s="89" t="s">
        <v>1461</v>
      </c>
      <c r="K141" s="89" t="s">
        <v>1462</v>
      </c>
      <c r="L141" s="64"/>
      <c r="M141" s="68">
        <v>1.0</v>
      </c>
      <c r="N141" s="67" t="s">
        <v>665</v>
      </c>
      <c r="O141" s="89" t="s">
        <v>1463</v>
      </c>
      <c r="P141" s="89" t="s">
        <v>1461</v>
      </c>
      <c r="Q141" s="89" t="s">
        <v>1462</v>
      </c>
      <c r="R141" s="64"/>
    </row>
    <row r="142">
      <c r="A142" s="64"/>
      <c r="B142" s="64"/>
      <c r="C142" s="64"/>
      <c r="D142" s="64"/>
      <c r="E142" s="64"/>
      <c r="F142" s="64"/>
      <c r="G142" s="68">
        <v>1.0</v>
      </c>
      <c r="H142" s="67" t="s">
        <v>666</v>
      </c>
      <c r="I142" s="89" t="s">
        <v>1463</v>
      </c>
      <c r="J142" s="89" t="s">
        <v>1461</v>
      </c>
      <c r="K142" s="89" t="s">
        <v>1462</v>
      </c>
      <c r="L142" s="64"/>
      <c r="M142" s="68">
        <v>1.0</v>
      </c>
      <c r="N142" s="67" t="s">
        <v>668</v>
      </c>
      <c r="O142" s="89" t="s">
        <v>1463</v>
      </c>
      <c r="P142" s="89" t="s">
        <v>1461</v>
      </c>
      <c r="Q142" s="89" t="s">
        <v>1462</v>
      </c>
      <c r="R142" s="64"/>
    </row>
    <row r="143">
      <c r="A143" s="64" t="s">
        <v>669</v>
      </c>
      <c r="C143" s="64"/>
      <c r="D143" s="64"/>
      <c r="E143" s="64"/>
      <c r="F143" s="64"/>
      <c r="G143" s="68">
        <v>1.0</v>
      </c>
      <c r="H143" s="67" t="s">
        <v>670</v>
      </c>
      <c r="I143" s="89" t="s">
        <v>1463</v>
      </c>
      <c r="J143" s="89" t="s">
        <v>1461</v>
      </c>
      <c r="K143" s="89" t="s">
        <v>1462</v>
      </c>
      <c r="L143" s="64"/>
      <c r="M143" s="68">
        <v>1.0</v>
      </c>
      <c r="N143" s="67" t="s">
        <v>671</v>
      </c>
      <c r="O143" s="89" t="s">
        <v>1463</v>
      </c>
      <c r="P143" s="89" t="s">
        <v>1461</v>
      </c>
      <c r="Q143" s="89" t="s">
        <v>1462</v>
      </c>
      <c r="R143" s="64"/>
    </row>
    <row r="144">
      <c r="A144" s="67" t="s">
        <v>45</v>
      </c>
      <c r="B144" s="67" t="s">
        <v>68</v>
      </c>
      <c r="C144" s="65" t="s">
        <v>1457</v>
      </c>
      <c r="D144" s="65" t="s">
        <v>1458</v>
      </c>
      <c r="E144" s="67" t="s">
        <v>1459</v>
      </c>
      <c r="F144" s="64"/>
      <c r="G144" s="68">
        <v>1.0</v>
      </c>
      <c r="H144" s="67" t="s">
        <v>672</v>
      </c>
      <c r="I144" s="89" t="s">
        <v>1463</v>
      </c>
      <c r="J144" s="89" t="s">
        <v>1461</v>
      </c>
      <c r="K144" s="89" t="s">
        <v>1462</v>
      </c>
      <c r="L144" s="64"/>
      <c r="M144" s="68">
        <v>1.0</v>
      </c>
      <c r="N144" s="67" t="s">
        <v>673</v>
      </c>
      <c r="O144" s="89" t="s">
        <v>1463</v>
      </c>
      <c r="P144" s="89" t="s">
        <v>1461</v>
      </c>
      <c r="Q144" s="89" t="s">
        <v>1462</v>
      </c>
      <c r="R144" s="64"/>
    </row>
    <row r="145">
      <c r="A145" s="68">
        <v>1.0</v>
      </c>
      <c r="B145" s="67" t="s">
        <v>674</v>
      </c>
      <c r="C145" s="89" t="s">
        <v>1463</v>
      </c>
      <c r="D145" s="89" t="s">
        <v>1461</v>
      </c>
      <c r="E145" s="89" t="s">
        <v>1462</v>
      </c>
      <c r="F145" s="64"/>
      <c r="G145" s="68">
        <v>1.0</v>
      </c>
      <c r="H145" s="67" t="s">
        <v>675</v>
      </c>
      <c r="I145" s="89" t="s">
        <v>1463</v>
      </c>
      <c r="J145" s="89" t="s">
        <v>1461</v>
      </c>
      <c r="K145" s="89" t="s">
        <v>1462</v>
      </c>
      <c r="L145" s="64"/>
      <c r="M145" s="68">
        <v>1.0</v>
      </c>
      <c r="N145" s="67" t="s">
        <v>676</v>
      </c>
      <c r="O145" s="89" t="s">
        <v>1463</v>
      </c>
      <c r="P145" s="89" t="s">
        <v>1461</v>
      </c>
      <c r="Q145" s="89" t="s">
        <v>1462</v>
      </c>
      <c r="R145" s="64"/>
    </row>
    <row r="146">
      <c r="A146" s="68">
        <v>1.0</v>
      </c>
      <c r="B146" s="67" t="s">
        <v>677</v>
      </c>
      <c r="C146" s="89" t="s">
        <v>1463</v>
      </c>
      <c r="D146" s="89" t="s">
        <v>1461</v>
      </c>
      <c r="E146" s="89" t="s">
        <v>1462</v>
      </c>
      <c r="F146" s="64"/>
      <c r="G146" s="68">
        <v>1.0</v>
      </c>
      <c r="H146" s="67" t="s">
        <v>678</v>
      </c>
      <c r="I146" s="89" t="s">
        <v>1463</v>
      </c>
      <c r="J146" s="89" t="s">
        <v>1461</v>
      </c>
      <c r="K146" s="89" t="s">
        <v>1462</v>
      </c>
      <c r="L146" s="64"/>
      <c r="M146" s="68">
        <v>1.0</v>
      </c>
      <c r="N146" s="67" t="s">
        <v>679</v>
      </c>
      <c r="O146" s="89" t="s">
        <v>1463</v>
      </c>
      <c r="P146" s="89" t="s">
        <v>1461</v>
      </c>
      <c r="Q146" s="89" t="s">
        <v>1462</v>
      </c>
      <c r="R146" s="64"/>
    </row>
    <row r="147">
      <c r="A147" s="68">
        <v>1.0</v>
      </c>
      <c r="B147" s="67" t="s">
        <v>680</v>
      </c>
      <c r="C147" s="65" t="s">
        <v>1457</v>
      </c>
      <c r="D147" s="65" t="s">
        <v>1458</v>
      </c>
      <c r="E147" s="89" t="s">
        <v>1462</v>
      </c>
      <c r="F147" s="64"/>
      <c r="G147" s="68">
        <v>1.0</v>
      </c>
      <c r="H147" s="67" t="s">
        <v>681</v>
      </c>
      <c r="I147" s="89" t="s">
        <v>1463</v>
      </c>
      <c r="J147" s="89" t="s">
        <v>1461</v>
      </c>
      <c r="K147" s="89" t="s">
        <v>1462</v>
      </c>
      <c r="L147" s="64"/>
      <c r="M147" s="68">
        <v>1.0</v>
      </c>
      <c r="N147" s="67" t="s">
        <v>682</v>
      </c>
      <c r="O147" s="89" t="s">
        <v>1463</v>
      </c>
      <c r="P147" s="89" t="s">
        <v>1461</v>
      </c>
      <c r="Q147" s="89" t="s">
        <v>1462</v>
      </c>
      <c r="R147" s="64"/>
    </row>
    <row r="148">
      <c r="A148" s="68">
        <v>1.0</v>
      </c>
      <c r="B148" s="67" t="s">
        <v>683</v>
      </c>
      <c r="C148" s="89" t="s">
        <v>1463</v>
      </c>
      <c r="D148" s="89" t="s">
        <v>1461</v>
      </c>
      <c r="E148" s="89" t="s">
        <v>1462</v>
      </c>
      <c r="F148" s="64"/>
      <c r="G148" s="68">
        <v>1.0</v>
      </c>
      <c r="H148" s="67" t="s">
        <v>684</v>
      </c>
      <c r="I148" s="89" t="s">
        <v>1463</v>
      </c>
      <c r="J148" s="89" t="s">
        <v>1461</v>
      </c>
      <c r="K148" s="89" t="s">
        <v>1462</v>
      </c>
      <c r="L148" s="64"/>
      <c r="M148" s="68">
        <v>1.0</v>
      </c>
      <c r="N148" s="67" t="s">
        <v>685</v>
      </c>
      <c r="O148" s="89" t="s">
        <v>1463</v>
      </c>
      <c r="P148" s="89" t="s">
        <v>1461</v>
      </c>
      <c r="Q148" s="89" t="s">
        <v>1462</v>
      </c>
      <c r="R148" s="64"/>
    </row>
    <row r="149">
      <c r="A149" s="68">
        <v>2.0</v>
      </c>
      <c r="B149" s="67" t="s">
        <v>686</v>
      </c>
      <c r="C149" s="89" t="s">
        <v>1463</v>
      </c>
      <c r="D149" s="89" t="s">
        <v>1461</v>
      </c>
      <c r="E149" s="89" t="s">
        <v>1462</v>
      </c>
      <c r="F149" s="64"/>
      <c r="G149" s="68">
        <v>1.0</v>
      </c>
      <c r="H149" s="67" t="s">
        <v>687</v>
      </c>
      <c r="I149" s="89" t="s">
        <v>1463</v>
      </c>
      <c r="J149" s="89" t="s">
        <v>1461</v>
      </c>
      <c r="K149" s="89" t="s">
        <v>1462</v>
      </c>
      <c r="L149" s="64"/>
      <c r="M149" s="68">
        <v>1.0</v>
      </c>
      <c r="N149" s="67" t="s">
        <v>688</v>
      </c>
      <c r="O149" s="89" t="s">
        <v>1463</v>
      </c>
      <c r="P149" s="89" t="s">
        <v>1461</v>
      </c>
      <c r="Q149" s="89" t="s">
        <v>1462</v>
      </c>
      <c r="R149" s="64"/>
    </row>
    <row r="150">
      <c r="A150" s="68">
        <v>1.0</v>
      </c>
      <c r="B150" s="67" t="s">
        <v>689</v>
      </c>
      <c r="C150" s="89" t="s">
        <v>1463</v>
      </c>
      <c r="D150" s="89" t="s">
        <v>1461</v>
      </c>
      <c r="E150" s="89" t="s">
        <v>1462</v>
      </c>
      <c r="F150" s="64"/>
      <c r="G150" s="68">
        <v>1.0</v>
      </c>
      <c r="H150" s="67" t="s">
        <v>690</v>
      </c>
      <c r="I150" s="89" t="s">
        <v>1463</v>
      </c>
      <c r="J150" s="89" t="s">
        <v>1461</v>
      </c>
      <c r="K150" s="89" t="s">
        <v>1462</v>
      </c>
      <c r="L150" s="64"/>
      <c r="M150" s="68">
        <v>1.0</v>
      </c>
      <c r="N150" s="67" t="s">
        <v>691</v>
      </c>
      <c r="O150" s="89" t="s">
        <v>1463</v>
      </c>
      <c r="P150" s="89" t="s">
        <v>1461</v>
      </c>
      <c r="Q150" s="89" t="s">
        <v>1462</v>
      </c>
      <c r="R150" s="64"/>
    </row>
    <row r="151">
      <c r="A151" s="68">
        <v>1.0</v>
      </c>
      <c r="B151" s="67" t="s">
        <v>692</v>
      </c>
      <c r="C151" s="89" t="s">
        <v>1463</v>
      </c>
      <c r="D151" s="89" t="s">
        <v>1461</v>
      </c>
      <c r="E151" s="89" t="s">
        <v>1462</v>
      </c>
      <c r="F151" s="64"/>
      <c r="G151" s="68">
        <v>1.0</v>
      </c>
      <c r="H151" s="67" t="s">
        <v>693</v>
      </c>
      <c r="I151" s="89" t="s">
        <v>1463</v>
      </c>
      <c r="J151" s="89" t="s">
        <v>1461</v>
      </c>
      <c r="K151" s="89" t="s">
        <v>1462</v>
      </c>
      <c r="L151" s="64"/>
      <c r="M151" s="68">
        <v>1.0</v>
      </c>
      <c r="N151" s="67" t="s">
        <v>694</v>
      </c>
      <c r="O151" s="89" t="s">
        <v>1463</v>
      </c>
      <c r="P151" s="89" t="s">
        <v>1461</v>
      </c>
      <c r="Q151" s="89" t="s">
        <v>1462</v>
      </c>
      <c r="R151" s="64"/>
    </row>
    <row r="152">
      <c r="A152" s="68">
        <v>1.0</v>
      </c>
      <c r="B152" s="67" t="s">
        <v>695</v>
      </c>
      <c r="C152" s="89" t="s">
        <v>1463</v>
      </c>
      <c r="D152" s="89" t="s">
        <v>1461</v>
      </c>
      <c r="E152" s="89" t="s">
        <v>1462</v>
      </c>
      <c r="F152" s="64"/>
      <c r="G152" s="68">
        <v>1.0</v>
      </c>
      <c r="H152" s="67" t="s">
        <v>696</v>
      </c>
      <c r="I152" s="89" t="s">
        <v>1463</v>
      </c>
      <c r="J152" s="89" t="s">
        <v>1461</v>
      </c>
      <c r="K152" s="89" t="s">
        <v>1462</v>
      </c>
      <c r="L152" s="64"/>
      <c r="M152" s="68">
        <v>1.0</v>
      </c>
      <c r="N152" s="67" t="s">
        <v>697</v>
      </c>
      <c r="O152" s="89" t="s">
        <v>1463</v>
      </c>
      <c r="P152" s="89" t="s">
        <v>1461</v>
      </c>
      <c r="Q152" s="89" t="s">
        <v>1462</v>
      </c>
      <c r="R152" s="64"/>
    </row>
    <row r="153">
      <c r="A153" s="68">
        <v>1.0</v>
      </c>
      <c r="B153" s="67" t="s">
        <v>698</v>
      </c>
      <c r="C153" s="89" t="s">
        <v>1463</v>
      </c>
      <c r="D153" s="89" t="s">
        <v>1461</v>
      </c>
      <c r="E153" s="89" t="s">
        <v>1462</v>
      </c>
      <c r="F153" s="64"/>
      <c r="G153" s="68">
        <v>1.0</v>
      </c>
      <c r="H153" s="67" t="s">
        <v>699</v>
      </c>
      <c r="I153" s="89" t="s">
        <v>1463</v>
      </c>
      <c r="J153" s="89" t="s">
        <v>1461</v>
      </c>
      <c r="K153" s="89" t="s">
        <v>1462</v>
      </c>
      <c r="L153" s="64"/>
      <c r="M153" s="68">
        <v>1.0</v>
      </c>
      <c r="N153" s="67" t="s">
        <v>700</v>
      </c>
      <c r="O153" s="89" t="s">
        <v>1463</v>
      </c>
      <c r="P153" s="89" t="s">
        <v>1461</v>
      </c>
      <c r="Q153" s="89" t="s">
        <v>1462</v>
      </c>
      <c r="R153" s="64"/>
    </row>
    <row r="154">
      <c r="A154" s="68">
        <v>2.0</v>
      </c>
      <c r="B154" s="67" t="s">
        <v>701</v>
      </c>
      <c r="C154" s="89" t="s">
        <v>1463</v>
      </c>
      <c r="D154" s="89" t="s">
        <v>1461</v>
      </c>
      <c r="E154" s="89" t="s">
        <v>1462</v>
      </c>
      <c r="F154" s="64"/>
      <c r="G154" s="68">
        <v>1.0</v>
      </c>
      <c r="H154" s="67" t="s">
        <v>702</v>
      </c>
      <c r="I154" s="89" t="s">
        <v>1463</v>
      </c>
      <c r="J154" s="89" t="s">
        <v>1461</v>
      </c>
      <c r="K154" s="89" t="s">
        <v>1462</v>
      </c>
      <c r="L154" s="64"/>
      <c r="M154" s="68">
        <v>1.0</v>
      </c>
      <c r="N154" s="67" t="s">
        <v>703</v>
      </c>
      <c r="O154" s="89" t="s">
        <v>1463</v>
      </c>
      <c r="P154" s="89" t="s">
        <v>1461</v>
      </c>
      <c r="Q154" s="89" t="s">
        <v>1462</v>
      </c>
      <c r="R154" s="64"/>
    </row>
    <row r="155">
      <c r="A155" s="68">
        <v>1.0</v>
      </c>
      <c r="B155" s="67" t="s">
        <v>704</v>
      </c>
      <c r="C155" s="89" t="s">
        <v>1463</v>
      </c>
      <c r="D155" s="89" t="s">
        <v>1461</v>
      </c>
      <c r="E155" s="89" t="s">
        <v>1462</v>
      </c>
      <c r="F155" s="64"/>
      <c r="G155" s="68">
        <v>1.0</v>
      </c>
      <c r="H155" s="67" t="s">
        <v>705</v>
      </c>
      <c r="I155" s="89" t="s">
        <v>1463</v>
      </c>
      <c r="J155" s="89" t="s">
        <v>1461</v>
      </c>
      <c r="K155" s="89" t="s">
        <v>1462</v>
      </c>
      <c r="L155" s="64"/>
      <c r="M155" s="68">
        <v>1.0</v>
      </c>
      <c r="N155" s="67" t="s">
        <v>706</v>
      </c>
      <c r="O155" s="89" t="s">
        <v>1463</v>
      </c>
      <c r="P155" s="89" t="s">
        <v>1461</v>
      </c>
      <c r="Q155" s="89" t="s">
        <v>1462</v>
      </c>
      <c r="R155" s="64"/>
    </row>
    <row r="156">
      <c r="A156" s="68">
        <v>1.0</v>
      </c>
      <c r="B156" s="67" t="s">
        <v>707</v>
      </c>
      <c r="C156" s="89" t="s">
        <v>1463</v>
      </c>
      <c r="D156" s="89" t="s">
        <v>1461</v>
      </c>
      <c r="E156" s="89" t="s">
        <v>1462</v>
      </c>
      <c r="F156" s="64"/>
      <c r="G156" s="68">
        <v>1.0</v>
      </c>
      <c r="H156" s="67" t="s">
        <v>708</v>
      </c>
      <c r="I156" s="89" t="s">
        <v>1463</v>
      </c>
      <c r="J156" s="89" t="s">
        <v>1461</v>
      </c>
      <c r="K156" s="89" t="s">
        <v>1462</v>
      </c>
      <c r="L156" s="64"/>
      <c r="M156" s="68">
        <v>1.0</v>
      </c>
      <c r="N156" s="67" t="s">
        <v>709</v>
      </c>
      <c r="O156" s="89" t="s">
        <v>1463</v>
      </c>
      <c r="P156" s="89" t="s">
        <v>1461</v>
      </c>
      <c r="Q156" s="89" t="s">
        <v>1462</v>
      </c>
      <c r="R156" s="64"/>
    </row>
    <row r="157">
      <c r="A157" s="68">
        <v>1.0</v>
      </c>
      <c r="B157" s="67" t="s">
        <v>710</v>
      </c>
      <c r="C157" s="89" t="s">
        <v>1463</v>
      </c>
      <c r="D157" s="89" t="s">
        <v>1461</v>
      </c>
      <c r="E157" s="89" t="s">
        <v>1462</v>
      </c>
      <c r="F157" s="64"/>
      <c r="G157" s="68">
        <v>1.0</v>
      </c>
      <c r="H157" s="67" t="s">
        <v>711</v>
      </c>
      <c r="I157" s="89" t="s">
        <v>1463</v>
      </c>
      <c r="J157" s="89" t="s">
        <v>1461</v>
      </c>
      <c r="K157" s="89" t="s">
        <v>1462</v>
      </c>
      <c r="L157" s="64"/>
      <c r="M157" s="68">
        <v>1.0</v>
      </c>
      <c r="N157" s="67" t="s">
        <v>712</v>
      </c>
      <c r="O157" s="89" t="s">
        <v>1463</v>
      </c>
      <c r="P157" s="89" t="s">
        <v>1461</v>
      </c>
      <c r="Q157" s="89" t="s">
        <v>1462</v>
      </c>
      <c r="R157" s="64"/>
    </row>
    <row r="158">
      <c r="A158" s="68">
        <v>1.0</v>
      </c>
      <c r="B158" s="67" t="s">
        <v>713</v>
      </c>
      <c r="C158" s="89" t="s">
        <v>1463</v>
      </c>
      <c r="D158" s="89" t="s">
        <v>1461</v>
      </c>
      <c r="E158" s="89" t="s">
        <v>1462</v>
      </c>
      <c r="F158" s="64"/>
      <c r="G158" s="68">
        <v>1.0</v>
      </c>
      <c r="H158" s="67" t="s">
        <v>714</v>
      </c>
      <c r="I158" s="89" t="s">
        <v>1463</v>
      </c>
      <c r="J158" s="89" t="s">
        <v>1461</v>
      </c>
      <c r="K158" s="89" t="s">
        <v>1462</v>
      </c>
      <c r="L158" s="64"/>
      <c r="M158" s="68">
        <v>1.0</v>
      </c>
      <c r="N158" s="67" t="s">
        <v>715</v>
      </c>
      <c r="O158" s="89" t="s">
        <v>1463</v>
      </c>
      <c r="P158" s="89" t="s">
        <v>1461</v>
      </c>
      <c r="Q158" s="89" t="s">
        <v>1462</v>
      </c>
      <c r="R158" s="64"/>
    </row>
    <row r="159">
      <c r="A159" s="68">
        <v>1.0</v>
      </c>
      <c r="B159" s="67" t="s">
        <v>716</v>
      </c>
      <c r="C159" s="89" t="s">
        <v>1463</v>
      </c>
      <c r="D159" s="89" t="s">
        <v>1461</v>
      </c>
      <c r="E159" s="89" t="s">
        <v>1462</v>
      </c>
      <c r="F159" s="64"/>
      <c r="G159" s="68">
        <v>1.0</v>
      </c>
      <c r="H159" s="67" t="s">
        <v>717</v>
      </c>
      <c r="I159" s="89" t="s">
        <v>1463</v>
      </c>
      <c r="J159" s="89" t="s">
        <v>1461</v>
      </c>
      <c r="K159" s="89" t="s">
        <v>1462</v>
      </c>
      <c r="L159" s="64"/>
      <c r="M159" s="68">
        <v>1.0</v>
      </c>
      <c r="N159" s="67" t="s">
        <v>718</v>
      </c>
      <c r="O159" s="89" t="s">
        <v>1463</v>
      </c>
      <c r="P159" s="89" t="s">
        <v>1461</v>
      </c>
      <c r="Q159" s="89" t="s">
        <v>1462</v>
      </c>
      <c r="R159" s="64"/>
    </row>
    <row r="160">
      <c r="A160" s="68">
        <v>2.0</v>
      </c>
      <c r="B160" s="67" t="s">
        <v>719</v>
      </c>
      <c r="C160" s="89" t="s">
        <v>1463</v>
      </c>
      <c r="D160" s="89" t="s">
        <v>1461</v>
      </c>
      <c r="E160" s="89" t="s">
        <v>1462</v>
      </c>
      <c r="F160" s="64"/>
      <c r="G160" s="68">
        <v>1.0</v>
      </c>
      <c r="H160" s="67" t="s">
        <v>720</v>
      </c>
      <c r="I160" s="89" t="s">
        <v>1463</v>
      </c>
      <c r="J160" s="89" t="s">
        <v>1461</v>
      </c>
      <c r="K160" s="89" t="s">
        <v>1462</v>
      </c>
      <c r="L160" s="64"/>
      <c r="M160" s="68">
        <v>1.0</v>
      </c>
      <c r="N160" s="67" t="s">
        <v>721</v>
      </c>
      <c r="O160" s="89" t="s">
        <v>1463</v>
      </c>
      <c r="P160" s="89" t="s">
        <v>1461</v>
      </c>
      <c r="Q160" s="89" t="s">
        <v>1462</v>
      </c>
      <c r="R160" s="64"/>
    </row>
    <row r="161">
      <c r="A161" s="68">
        <v>1.0</v>
      </c>
      <c r="B161" s="67" t="s">
        <v>722</v>
      </c>
      <c r="C161" s="89" t="s">
        <v>1463</v>
      </c>
      <c r="D161" s="89" t="s">
        <v>1461</v>
      </c>
      <c r="E161" s="89" t="s">
        <v>1462</v>
      </c>
      <c r="F161" s="64"/>
      <c r="G161" s="68">
        <v>1.0</v>
      </c>
      <c r="H161" s="67" t="s">
        <v>723</v>
      </c>
      <c r="I161" s="89" t="s">
        <v>1463</v>
      </c>
      <c r="J161" s="89" t="s">
        <v>1461</v>
      </c>
      <c r="K161" s="89" t="s">
        <v>1462</v>
      </c>
      <c r="L161" s="64"/>
      <c r="M161" s="68">
        <v>1.0</v>
      </c>
      <c r="N161" s="67" t="s">
        <v>724</v>
      </c>
      <c r="O161" s="89" t="s">
        <v>1463</v>
      </c>
      <c r="P161" s="89" t="s">
        <v>1461</v>
      </c>
      <c r="Q161" s="89" t="s">
        <v>1462</v>
      </c>
      <c r="R161" s="64"/>
    </row>
    <row r="162">
      <c r="A162" s="68">
        <v>1.0</v>
      </c>
      <c r="B162" s="67" t="s">
        <v>725</v>
      </c>
      <c r="C162" s="89" t="s">
        <v>1463</v>
      </c>
      <c r="D162" s="89" t="s">
        <v>1461</v>
      </c>
      <c r="E162" s="89" t="s">
        <v>1462</v>
      </c>
      <c r="F162" s="64"/>
      <c r="G162" s="68">
        <v>1.0</v>
      </c>
      <c r="H162" s="67" t="s">
        <v>726</v>
      </c>
      <c r="I162" s="89" t="s">
        <v>1463</v>
      </c>
      <c r="J162" s="89" t="s">
        <v>1461</v>
      </c>
      <c r="K162" s="89" t="s">
        <v>1462</v>
      </c>
      <c r="L162" s="64"/>
      <c r="M162" s="68">
        <v>1.0</v>
      </c>
      <c r="N162" s="67" t="s">
        <v>727</v>
      </c>
      <c r="O162" s="89" t="s">
        <v>1463</v>
      </c>
      <c r="P162" s="89" t="s">
        <v>1461</v>
      </c>
      <c r="Q162" s="89" t="s">
        <v>1462</v>
      </c>
      <c r="R162" s="64"/>
    </row>
    <row r="163">
      <c r="A163" s="68">
        <v>2.0</v>
      </c>
      <c r="B163" s="67" t="s">
        <v>728</v>
      </c>
      <c r="C163" s="89" t="s">
        <v>1463</v>
      </c>
      <c r="D163" s="89" t="s">
        <v>1461</v>
      </c>
      <c r="E163" s="89" t="s">
        <v>1462</v>
      </c>
      <c r="F163" s="64"/>
      <c r="G163" s="68">
        <v>1.0</v>
      </c>
      <c r="H163" s="67" t="s">
        <v>729</v>
      </c>
      <c r="I163" s="89" t="s">
        <v>1463</v>
      </c>
      <c r="J163" s="89" t="s">
        <v>1461</v>
      </c>
      <c r="K163" s="89" t="s">
        <v>1462</v>
      </c>
      <c r="L163" s="64"/>
      <c r="M163" s="68">
        <v>1.0</v>
      </c>
      <c r="N163" s="67" t="s">
        <v>730</v>
      </c>
      <c r="O163" s="89" t="s">
        <v>1463</v>
      </c>
      <c r="P163" s="89" t="s">
        <v>1461</v>
      </c>
      <c r="Q163" s="89" t="s">
        <v>1462</v>
      </c>
      <c r="R163" s="64"/>
    </row>
    <row r="164">
      <c r="A164" s="68">
        <v>1.0</v>
      </c>
      <c r="B164" s="67" t="s">
        <v>731</v>
      </c>
      <c r="C164" s="89" t="s">
        <v>1463</v>
      </c>
      <c r="D164" s="89" t="s">
        <v>1461</v>
      </c>
      <c r="E164" s="89" t="s">
        <v>1462</v>
      </c>
      <c r="F164" s="64"/>
      <c r="G164" s="68">
        <v>1.0</v>
      </c>
      <c r="H164" s="67" t="s">
        <v>732</v>
      </c>
      <c r="I164" s="89" t="s">
        <v>1463</v>
      </c>
      <c r="J164" s="89" t="s">
        <v>1461</v>
      </c>
      <c r="K164" s="89" t="s">
        <v>1462</v>
      </c>
      <c r="L164" s="64"/>
      <c r="M164" s="68">
        <v>1.0</v>
      </c>
      <c r="N164" s="67" t="s">
        <v>733</v>
      </c>
      <c r="O164" s="89" t="s">
        <v>1463</v>
      </c>
      <c r="P164" s="89" t="s">
        <v>1461</v>
      </c>
      <c r="Q164" s="89" t="s">
        <v>1462</v>
      </c>
      <c r="R164" s="64"/>
    </row>
    <row r="165">
      <c r="A165" s="68">
        <v>1.0</v>
      </c>
      <c r="B165" s="67" t="s">
        <v>734</v>
      </c>
      <c r="C165" s="89" t="s">
        <v>1463</v>
      </c>
      <c r="D165" s="89" t="s">
        <v>1461</v>
      </c>
      <c r="E165" s="89" t="s">
        <v>1462</v>
      </c>
      <c r="F165" s="64"/>
      <c r="G165" s="68">
        <v>1.0</v>
      </c>
      <c r="H165" s="67" t="s">
        <v>735</v>
      </c>
      <c r="I165" s="89" t="s">
        <v>1463</v>
      </c>
      <c r="J165" s="89" t="s">
        <v>1461</v>
      </c>
      <c r="K165" s="89" t="s">
        <v>1462</v>
      </c>
      <c r="L165" s="64"/>
      <c r="M165" s="68">
        <v>1.0</v>
      </c>
      <c r="N165" s="67" t="s">
        <v>736</v>
      </c>
      <c r="O165" s="89" t="s">
        <v>1463</v>
      </c>
      <c r="P165" s="89" t="s">
        <v>1461</v>
      </c>
      <c r="Q165" s="89" t="s">
        <v>1462</v>
      </c>
      <c r="R165" s="64"/>
    </row>
    <row r="166">
      <c r="A166" s="68">
        <v>1.0</v>
      </c>
      <c r="B166" s="67" t="s">
        <v>737</v>
      </c>
      <c r="C166" s="89" t="s">
        <v>1463</v>
      </c>
      <c r="D166" s="89" t="s">
        <v>1461</v>
      </c>
      <c r="E166" s="89" t="s">
        <v>1462</v>
      </c>
      <c r="F166" s="64"/>
      <c r="G166" s="68">
        <v>1.0</v>
      </c>
      <c r="H166" s="67" t="s">
        <v>738</v>
      </c>
      <c r="I166" s="89" t="s">
        <v>1463</v>
      </c>
      <c r="J166" s="89" t="s">
        <v>1461</v>
      </c>
      <c r="K166" s="89" t="s">
        <v>1462</v>
      </c>
      <c r="L166" s="64"/>
      <c r="M166" s="68">
        <v>1.0</v>
      </c>
      <c r="N166" s="67" t="s">
        <v>739</v>
      </c>
      <c r="O166" s="89" t="s">
        <v>1463</v>
      </c>
      <c r="P166" s="89" t="s">
        <v>1461</v>
      </c>
      <c r="Q166" s="89" t="s">
        <v>1462</v>
      </c>
      <c r="R166" s="64"/>
    </row>
    <row r="167">
      <c r="A167" s="68">
        <v>1.0</v>
      </c>
      <c r="B167" s="67" t="s">
        <v>740</v>
      </c>
      <c r="C167" s="89" t="s">
        <v>1463</v>
      </c>
      <c r="D167" s="89" t="s">
        <v>1461</v>
      </c>
      <c r="E167" s="89" t="s">
        <v>1462</v>
      </c>
      <c r="F167" s="64"/>
      <c r="G167" s="68">
        <v>1.0</v>
      </c>
      <c r="H167" s="67" t="s">
        <v>741</v>
      </c>
      <c r="I167" s="89" t="s">
        <v>1463</v>
      </c>
      <c r="J167" s="89" t="s">
        <v>1461</v>
      </c>
      <c r="K167" s="89" t="s">
        <v>1462</v>
      </c>
      <c r="L167" s="64"/>
      <c r="M167" s="68">
        <v>1.0</v>
      </c>
      <c r="N167" s="67" t="s">
        <v>742</v>
      </c>
      <c r="O167" s="89" t="s">
        <v>1463</v>
      </c>
      <c r="P167" s="89" t="s">
        <v>1461</v>
      </c>
      <c r="Q167" s="89" t="s">
        <v>1462</v>
      </c>
      <c r="R167" s="64"/>
    </row>
    <row r="168">
      <c r="A168" s="68">
        <v>1.0</v>
      </c>
      <c r="B168" s="67" t="s">
        <v>743</v>
      </c>
      <c r="C168" s="89" t="s">
        <v>1463</v>
      </c>
      <c r="D168" s="89" t="s">
        <v>1461</v>
      </c>
      <c r="E168" s="89" t="s">
        <v>1462</v>
      </c>
      <c r="F168" s="64"/>
      <c r="G168" s="68">
        <v>1.0</v>
      </c>
      <c r="H168" s="67" t="s">
        <v>744</v>
      </c>
      <c r="I168" s="89" t="s">
        <v>1463</v>
      </c>
      <c r="J168" s="89" t="s">
        <v>1461</v>
      </c>
      <c r="K168" s="89" t="s">
        <v>1462</v>
      </c>
      <c r="L168" s="64"/>
      <c r="M168" s="68">
        <v>1.0</v>
      </c>
      <c r="N168" s="67" t="s">
        <v>745</v>
      </c>
      <c r="O168" s="89" t="s">
        <v>1463</v>
      </c>
      <c r="P168" s="89" t="s">
        <v>1461</v>
      </c>
      <c r="Q168" s="89" t="s">
        <v>1462</v>
      </c>
      <c r="R168" s="64"/>
    </row>
    <row r="169">
      <c r="A169" s="68">
        <v>1.0</v>
      </c>
      <c r="B169" s="67" t="s">
        <v>746</v>
      </c>
      <c r="C169" s="89" t="s">
        <v>1463</v>
      </c>
      <c r="D169" s="89" t="s">
        <v>1461</v>
      </c>
      <c r="E169" s="89" t="s">
        <v>1462</v>
      </c>
      <c r="F169" s="64"/>
      <c r="G169" s="68">
        <v>1.0</v>
      </c>
      <c r="H169" s="67" t="s">
        <v>747</v>
      </c>
      <c r="I169" s="89" t="s">
        <v>1463</v>
      </c>
      <c r="J169" s="89" t="s">
        <v>1461</v>
      </c>
      <c r="K169" s="89" t="s">
        <v>1462</v>
      </c>
      <c r="L169" s="64"/>
      <c r="M169" s="68">
        <v>1.0</v>
      </c>
      <c r="N169" s="67" t="s">
        <v>748</v>
      </c>
      <c r="O169" s="89" t="s">
        <v>1463</v>
      </c>
      <c r="P169" s="89" t="s">
        <v>1461</v>
      </c>
      <c r="Q169" s="89" t="s">
        <v>1462</v>
      </c>
      <c r="R169" s="64"/>
    </row>
    <row r="170">
      <c r="A170" s="68">
        <v>1.0</v>
      </c>
      <c r="B170" s="67" t="s">
        <v>749</v>
      </c>
      <c r="C170" s="89" t="s">
        <v>1463</v>
      </c>
      <c r="D170" s="89" t="s">
        <v>1461</v>
      </c>
      <c r="E170" s="89" t="s">
        <v>1462</v>
      </c>
      <c r="F170" s="64"/>
      <c r="G170" s="68">
        <v>1.0</v>
      </c>
      <c r="H170" s="67" t="s">
        <v>750</v>
      </c>
      <c r="I170" s="89" t="s">
        <v>1463</v>
      </c>
      <c r="J170" s="89" t="s">
        <v>1461</v>
      </c>
      <c r="K170" s="89" t="s">
        <v>1462</v>
      </c>
      <c r="L170" s="64"/>
      <c r="M170" s="68">
        <v>1.0</v>
      </c>
      <c r="N170" s="67" t="s">
        <v>751</v>
      </c>
      <c r="O170" s="89" t="s">
        <v>1463</v>
      </c>
      <c r="P170" s="89" t="s">
        <v>1461</v>
      </c>
      <c r="Q170" s="89" t="s">
        <v>1462</v>
      </c>
      <c r="R170" s="64"/>
    </row>
    <row r="171">
      <c r="A171" s="68">
        <v>1.0</v>
      </c>
      <c r="B171" s="67" t="s">
        <v>752</v>
      </c>
      <c r="C171" s="89" t="s">
        <v>1463</v>
      </c>
      <c r="D171" s="89" t="s">
        <v>1461</v>
      </c>
      <c r="E171" s="89" t="s">
        <v>1462</v>
      </c>
      <c r="F171" s="64"/>
      <c r="G171" s="68">
        <v>1.0</v>
      </c>
      <c r="H171" s="67" t="s">
        <v>753</v>
      </c>
      <c r="I171" s="89" t="s">
        <v>1463</v>
      </c>
      <c r="J171" s="89" t="s">
        <v>1461</v>
      </c>
      <c r="K171" s="89" t="s">
        <v>1462</v>
      </c>
      <c r="L171" s="64"/>
      <c r="M171" s="68">
        <v>1.0</v>
      </c>
      <c r="N171" s="67" t="s">
        <v>754</v>
      </c>
      <c r="O171" s="89" t="s">
        <v>1463</v>
      </c>
      <c r="P171" s="89" t="s">
        <v>1461</v>
      </c>
      <c r="Q171" s="89" t="s">
        <v>1462</v>
      </c>
      <c r="R171" s="64"/>
    </row>
    <row r="172">
      <c r="A172" s="68">
        <v>1.0</v>
      </c>
      <c r="B172" s="67" t="s">
        <v>755</v>
      </c>
      <c r="C172" s="89" t="s">
        <v>1463</v>
      </c>
      <c r="D172" s="89" t="s">
        <v>1461</v>
      </c>
      <c r="E172" s="89" t="s">
        <v>1462</v>
      </c>
      <c r="F172" s="64"/>
      <c r="G172" s="68">
        <v>1.0</v>
      </c>
      <c r="H172" s="67" t="s">
        <v>756</v>
      </c>
      <c r="I172" s="89" t="s">
        <v>1463</v>
      </c>
      <c r="J172" s="89" t="s">
        <v>1461</v>
      </c>
      <c r="K172" s="89" t="s">
        <v>1462</v>
      </c>
      <c r="L172" s="64"/>
      <c r="M172" s="68">
        <v>1.0</v>
      </c>
      <c r="N172" s="67" t="s">
        <v>757</v>
      </c>
      <c r="O172" s="89" t="s">
        <v>1463</v>
      </c>
      <c r="P172" s="89" t="s">
        <v>1461</v>
      </c>
      <c r="Q172" s="89" t="s">
        <v>1462</v>
      </c>
      <c r="R172" s="64"/>
    </row>
    <row r="173">
      <c r="A173" s="68">
        <v>1.0</v>
      </c>
      <c r="B173" s="67" t="s">
        <v>758</v>
      </c>
      <c r="C173" s="89" t="s">
        <v>1463</v>
      </c>
      <c r="D173" s="89" t="s">
        <v>1461</v>
      </c>
      <c r="E173" s="89" t="s">
        <v>1462</v>
      </c>
      <c r="F173" s="64"/>
      <c r="G173" s="68">
        <v>1.0</v>
      </c>
      <c r="H173" s="67" t="s">
        <v>759</v>
      </c>
      <c r="I173" s="89" t="s">
        <v>1463</v>
      </c>
      <c r="J173" s="89" t="s">
        <v>1461</v>
      </c>
      <c r="K173" s="89" t="s">
        <v>1462</v>
      </c>
      <c r="L173" s="64"/>
      <c r="M173" s="68">
        <v>1.0</v>
      </c>
      <c r="N173" s="67" t="s">
        <v>760</v>
      </c>
      <c r="O173" s="89" t="s">
        <v>1463</v>
      </c>
      <c r="P173" s="89" t="s">
        <v>1461</v>
      </c>
      <c r="Q173" s="89" t="s">
        <v>1462</v>
      </c>
      <c r="R173" s="64"/>
    </row>
    <row r="174">
      <c r="A174" s="68">
        <v>1.0</v>
      </c>
      <c r="B174" s="67" t="s">
        <v>761</v>
      </c>
      <c r="C174" s="89" t="s">
        <v>1463</v>
      </c>
      <c r="D174" s="89" t="s">
        <v>1461</v>
      </c>
      <c r="E174" s="89" t="s">
        <v>1462</v>
      </c>
      <c r="F174" s="64"/>
      <c r="G174" s="68">
        <v>1.0</v>
      </c>
      <c r="H174" s="67" t="s">
        <v>762</v>
      </c>
      <c r="I174" s="89" t="s">
        <v>1463</v>
      </c>
      <c r="J174" s="89" t="s">
        <v>1461</v>
      </c>
      <c r="K174" s="89" t="s">
        <v>1462</v>
      </c>
      <c r="L174" s="64"/>
      <c r="M174" s="68">
        <v>1.0</v>
      </c>
      <c r="N174" s="67" t="s">
        <v>763</v>
      </c>
      <c r="O174" s="89" t="s">
        <v>1463</v>
      </c>
      <c r="P174" s="89" t="s">
        <v>1461</v>
      </c>
      <c r="Q174" s="89" t="s">
        <v>1462</v>
      </c>
      <c r="R174" s="64"/>
    </row>
    <row r="175">
      <c r="A175" s="68">
        <v>1.0</v>
      </c>
      <c r="B175" s="67" t="s">
        <v>764</v>
      </c>
      <c r="C175" s="89" t="s">
        <v>1463</v>
      </c>
      <c r="D175" s="89" t="s">
        <v>1461</v>
      </c>
      <c r="E175" s="89" t="s">
        <v>1462</v>
      </c>
      <c r="F175" s="64"/>
      <c r="G175" s="68">
        <v>1.0</v>
      </c>
      <c r="H175" s="67" t="s">
        <v>765</v>
      </c>
      <c r="I175" s="89" t="s">
        <v>1463</v>
      </c>
      <c r="J175" s="89" t="s">
        <v>1461</v>
      </c>
      <c r="K175" s="89" t="s">
        <v>1462</v>
      </c>
      <c r="L175" s="64"/>
      <c r="M175" s="68">
        <v>1.0</v>
      </c>
      <c r="N175" s="67" t="s">
        <v>767</v>
      </c>
      <c r="O175" s="89" t="s">
        <v>1463</v>
      </c>
      <c r="P175" s="89" t="s">
        <v>1461</v>
      </c>
      <c r="Q175" s="89" t="s">
        <v>1462</v>
      </c>
      <c r="R175" s="64"/>
    </row>
    <row r="176">
      <c r="A176" s="68">
        <v>1.0</v>
      </c>
      <c r="B176" s="67" t="s">
        <v>768</v>
      </c>
      <c r="C176" s="89" t="s">
        <v>1463</v>
      </c>
      <c r="D176" s="89" t="s">
        <v>1461</v>
      </c>
      <c r="E176" s="89" t="s">
        <v>1462</v>
      </c>
      <c r="F176" s="64"/>
      <c r="G176" s="68">
        <v>1.0</v>
      </c>
      <c r="H176" s="67" t="s">
        <v>769</v>
      </c>
      <c r="I176" s="89" t="s">
        <v>1463</v>
      </c>
      <c r="J176" s="89" t="s">
        <v>1461</v>
      </c>
      <c r="K176" s="89" t="s">
        <v>1462</v>
      </c>
      <c r="L176" s="64"/>
      <c r="M176" s="68">
        <v>1.0</v>
      </c>
      <c r="N176" s="67" t="s">
        <v>770</v>
      </c>
      <c r="O176" s="89" t="s">
        <v>1463</v>
      </c>
      <c r="P176" s="89" t="s">
        <v>1461</v>
      </c>
      <c r="Q176" s="89" t="s">
        <v>1462</v>
      </c>
      <c r="R176" s="64"/>
    </row>
    <row r="177">
      <c r="A177" s="68">
        <v>1.0</v>
      </c>
      <c r="B177" s="67" t="s">
        <v>771</v>
      </c>
      <c r="C177" s="89" t="s">
        <v>1463</v>
      </c>
      <c r="D177" s="89" t="s">
        <v>1461</v>
      </c>
      <c r="E177" s="89" t="s">
        <v>1462</v>
      </c>
      <c r="F177" s="64"/>
      <c r="G177" s="68">
        <v>1.0</v>
      </c>
      <c r="H177" s="67" t="s">
        <v>772</v>
      </c>
      <c r="I177" s="89" t="s">
        <v>1463</v>
      </c>
      <c r="J177" s="89" t="s">
        <v>1461</v>
      </c>
      <c r="K177" s="89" t="s">
        <v>1462</v>
      </c>
      <c r="L177" s="64"/>
      <c r="M177" s="68">
        <v>1.0</v>
      </c>
      <c r="N177" s="67" t="s">
        <v>773</v>
      </c>
      <c r="O177" s="89" t="s">
        <v>1463</v>
      </c>
      <c r="P177" s="89" t="s">
        <v>1461</v>
      </c>
      <c r="Q177" s="89" t="s">
        <v>1462</v>
      </c>
      <c r="R177" s="64"/>
    </row>
    <row r="178">
      <c r="A178" s="68">
        <v>1.0</v>
      </c>
      <c r="B178" s="67" t="s">
        <v>774</v>
      </c>
      <c r="C178" s="89" t="s">
        <v>1463</v>
      </c>
      <c r="D178" s="89" t="s">
        <v>1461</v>
      </c>
      <c r="E178" s="89" t="s">
        <v>1462</v>
      </c>
      <c r="F178" s="64"/>
      <c r="G178" s="68">
        <v>1.0</v>
      </c>
      <c r="H178" s="67" t="s">
        <v>775</v>
      </c>
      <c r="I178" s="89" t="s">
        <v>1463</v>
      </c>
      <c r="J178" s="89" t="s">
        <v>1461</v>
      </c>
      <c r="K178" s="89" t="s">
        <v>1462</v>
      </c>
      <c r="L178" s="64"/>
      <c r="M178" s="68">
        <v>1.0</v>
      </c>
      <c r="N178" s="67" t="s">
        <v>776</v>
      </c>
      <c r="O178" s="89" t="s">
        <v>1463</v>
      </c>
      <c r="P178" s="89" t="s">
        <v>1461</v>
      </c>
      <c r="Q178" s="89" t="s">
        <v>1462</v>
      </c>
      <c r="R178" s="64"/>
    </row>
    <row r="179">
      <c r="A179" s="68">
        <v>1.0</v>
      </c>
      <c r="B179" s="67" t="s">
        <v>777</v>
      </c>
      <c r="C179" s="89" t="s">
        <v>1463</v>
      </c>
      <c r="D179" s="89" t="s">
        <v>1461</v>
      </c>
      <c r="E179" s="89" t="s">
        <v>1462</v>
      </c>
      <c r="F179" s="64"/>
      <c r="G179" s="68">
        <v>1.0</v>
      </c>
      <c r="H179" s="67" t="s">
        <v>778</v>
      </c>
      <c r="I179" s="89" t="s">
        <v>1463</v>
      </c>
      <c r="J179" s="89" t="s">
        <v>1461</v>
      </c>
      <c r="K179" s="89" t="s">
        <v>1462</v>
      </c>
      <c r="L179" s="64"/>
      <c r="M179" s="68">
        <v>1.0</v>
      </c>
      <c r="N179" s="67" t="s">
        <v>779</v>
      </c>
      <c r="O179" s="89" t="s">
        <v>1463</v>
      </c>
      <c r="P179" s="89" t="s">
        <v>1461</v>
      </c>
      <c r="Q179" s="89" t="s">
        <v>1462</v>
      </c>
      <c r="R179" s="64"/>
    </row>
    <row r="180">
      <c r="A180" s="68">
        <v>1.0</v>
      </c>
      <c r="B180" s="67" t="s">
        <v>780</v>
      </c>
      <c r="C180" s="89" t="s">
        <v>1463</v>
      </c>
      <c r="D180" s="89" t="s">
        <v>1461</v>
      </c>
      <c r="E180" s="89" t="s">
        <v>1462</v>
      </c>
      <c r="F180" s="64"/>
      <c r="G180" s="68">
        <v>1.0</v>
      </c>
      <c r="H180" s="67" t="s">
        <v>781</v>
      </c>
      <c r="I180" s="89" t="s">
        <v>1463</v>
      </c>
      <c r="J180" s="89" t="s">
        <v>1461</v>
      </c>
      <c r="K180" s="89" t="s">
        <v>1462</v>
      </c>
      <c r="L180" s="64"/>
      <c r="M180" s="68">
        <v>1.0</v>
      </c>
      <c r="N180" s="67" t="s">
        <v>783</v>
      </c>
      <c r="O180" s="89" t="s">
        <v>1463</v>
      </c>
      <c r="P180" s="89" t="s">
        <v>1461</v>
      </c>
      <c r="Q180" s="89" t="s">
        <v>1462</v>
      </c>
      <c r="R180" s="64"/>
    </row>
    <row r="181">
      <c r="A181" s="68">
        <v>1.0</v>
      </c>
      <c r="B181" s="67" t="s">
        <v>784</v>
      </c>
      <c r="C181" s="89" t="s">
        <v>1463</v>
      </c>
      <c r="D181" s="89" t="s">
        <v>1461</v>
      </c>
      <c r="E181" s="89" t="s">
        <v>1462</v>
      </c>
      <c r="F181" s="64"/>
      <c r="G181" s="68">
        <v>1.0</v>
      </c>
      <c r="H181" s="67" t="s">
        <v>785</v>
      </c>
      <c r="I181" s="89" t="s">
        <v>1463</v>
      </c>
      <c r="J181" s="89" t="s">
        <v>1461</v>
      </c>
      <c r="K181" s="89" t="s">
        <v>1462</v>
      </c>
      <c r="L181" s="64"/>
      <c r="M181" s="64"/>
      <c r="N181" s="64"/>
      <c r="O181" s="64"/>
      <c r="P181" s="64"/>
      <c r="Q181" s="64"/>
      <c r="R181" s="64"/>
    </row>
    <row r="182">
      <c r="A182" s="68">
        <v>1.0</v>
      </c>
      <c r="B182" s="67" t="s">
        <v>787</v>
      </c>
      <c r="C182" s="89" t="s">
        <v>1463</v>
      </c>
      <c r="D182" s="89" t="s">
        <v>1461</v>
      </c>
      <c r="E182" s="89" t="s">
        <v>1462</v>
      </c>
      <c r="F182" s="64"/>
      <c r="G182" s="68">
        <v>1.0</v>
      </c>
      <c r="H182" s="67" t="s">
        <v>788</v>
      </c>
      <c r="I182" s="89" t="s">
        <v>1463</v>
      </c>
      <c r="J182" s="89" t="s">
        <v>1461</v>
      </c>
      <c r="K182" s="89" t="s">
        <v>1462</v>
      </c>
      <c r="L182" s="64"/>
      <c r="M182" s="64" t="s">
        <v>790</v>
      </c>
      <c r="O182" s="64"/>
      <c r="P182" s="64"/>
      <c r="Q182" s="64"/>
      <c r="R182" s="64"/>
    </row>
    <row r="183">
      <c r="A183" s="64"/>
      <c r="B183" s="64"/>
      <c r="C183" s="64"/>
      <c r="D183" s="64"/>
      <c r="E183" s="64"/>
      <c r="F183" s="64"/>
      <c r="G183" s="68">
        <v>1.0</v>
      </c>
      <c r="H183" s="67" t="s">
        <v>791</v>
      </c>
      <c r="I183" s="89" t="s">
        <v>1463</v>
      </c>
      <c r="J183" s="89" t="s">
        <v>1461</v>
      </c>
      <c r="K183" s="89" t="s">
        <v>1462</v>
      </c>
      <c r="L183" s="64"/>
      <c r="M183" s="67" t="s">
        <v>45</v>
      </c>
      <c r="N183" s="67" t="s">
        <v>68</v>
      </c>
      <c r="O183" s="65" t="s">
        <v>1457</v>
      </c>
      <c r="P183" s="65" t="s">
        <v>1458</v>
      </c>
      <c r="Q183" s="67" t="s">
        <v>1459</v>
      </c>
      <c r="R183" s="64"/>
    </row>
    <row r="184">
      <c r="A184" s="64" t="s">
        <v>792</v>
      </c>
      <c r="C184" s="64"/>
      <c r="D184" s="64"/>
      <c r="E184" s="64"/>
      <c r="F184" s="64"/>
      <c r="G184" s="68">
        <v>1.0</v>
      </c>
      <c r="H184" s="67" t="s">
        <v>793</v>
      </c>
      <c r="I184" s="89" t="s">
        <v>1463</v>
      </c>
      <c r="J184" s="89" t="s">
        <v>1461</v>
      </c>
      <c r="K184" s="89" t="s">
        <v>1462</v>
      </c>
      <c r="L184" s="64"/>
      <c r="M184" s="68">
        <v>1.0</v>
      </c>
      <c r="N184" s="67" t="s">
        <v>794</v>
      </c>
      <c r="O184" s="89" t="s">
        <v>1463</v>
      </c>
      <c r="P184" s="89" t="s">
        <v>1461</v>
      </c>
      <c r="Q184" s="89" t="s">
        <v>1462</v>
      </c>
      <c r="R184" s="64"/>
    </row>
    <row r="185">
      <c r="A185" s="67" t="s">
        <v>45</v>
      </c>
      <c r="B185" s="67" t="s">
        <v>68</v>
      </c>
      <c r="C185" s="65" t="s">
        <v>1457</v>
      </c>
      <c r="D185" s="65" t="s">
        <v>1458</v>
      </c>
      <c r="E185" s="67" t="s">
        <v>1459</v>
      </c>
      <c r="F185" s="64"/>
      <c r="G185" s="68">
        <v>1.0</v>
      </c>
      <c r="H185" s="67" t="s">
        <v>795</v>
      </c>
      <c r="I185" s="89" t="s">
        <v>1463</v>
      </c>
      <c r="J185" s="89" t="s">
        <v>1461</v>
      </c>
      <c r="K185" s="89" t="s">
        <v>1462</v>
      </c>
      <c r="L185" s="64"/>
      <c r="M185" s="64"/>
      <c r="N185" s="64"/>
      <c r="O185" s="64"/>
      <c r="P185" s="64"/>
      <c r="Q185" s="64"/>
      <c r="R185" s="64"/>
    </row>
    <row r="186">
      <c r="A186" s="68">
        <v>1.0</v>
      </c>
      <c r="B186" s="67" t="s">
        <v>797</v>
      </c>
      <c r="C186" s="89" t="s">
        <v>1463</v>
      </c>
      <c r="D186" s="89" t="s">
        <v>1461</v>
      </c>
      <c r="E186" s="89" t="s">
        <v>1462</v>
      </c>
      <c r="F186" s="64"/>
      <c r="G186" s="68">
        <v>1.0</v>
      </c>
      <c r="H186" s="67" t="s">
        <v>798</v>
      </c>
      <c r="I186" s="89" t="s">
        <v>1463</v>
      </c>
      <c r="J186" s="89" t="s">
        <v>1461</v>
      </c>
      <c r="K186" s="89" t="s">
        <v>1462</v>
      </c>
      <c r="L186" s="64"/>
      <c r="M186" s="64" t="s">
        <v>799</v>
      </c>
      <c r="O186" s="64"/>
      <c r="P186" s="64"/>
      <c r="Q186" s="64"/>
      <c r="R186" s="64"/>
    </row>
    <row r="187">
      <c r="A187" s="68">
        <v>1.0</v>
      </c>
      <c r="B187" s="67" t="s">
        <v>800</v>
      </c>
      <c r="C187" s="89" t="s">
        <v>1463</v>
      </c>
      <c r="D187" s="89" t="s">
        <v>1461</v>
      </c>
      <c r="E187" s="89" t="s">
        <v>1462</v>
      </c>
      <c r="F187" s="64"/>
      <c r="G187" s="68">
        <v>1.0</v>
      </c>
      <c r="H187" s="67" t="s">
        <v>801</v>
      </c>
      <c r="I187" s="89" t="s">
        <v>1463</v>
      </c>
      <c r="J187" s="89" t="s">
        <v>1461</v>
      </c>
      <c r="K187" s="89" t="s">
        <v>1462</v>
      </c>
      <c r="L187" s="64"/>
      <c r="M187" s="67" t="s">
        <v>45</v>
      </c>
      <c r="N187" s="67" t="s">
        <v>68</v>
      </c>
      <c r="O187" s="65" t="s">
        <v>1457</v>
      </c>
      <c r="P187" s="65" t="s">
        <v>1458</v>
      </c>
      <c r="Q187" s="67" t="s">
        <v>1459</v>
      </c>
      <c r="R187" s="64"/>
    </row>
    <row r="188">
      <c r="A188" s="68">
        <v>1.0</v>
      </c>
      <c r="B188" s="67" t="s">
        <v>803</v>
      </c>
      <c r="C188" s="89" t="s">
        <v>1463</v>
      </c>
      <c r="D188" s="89" t="s">
        <v>1461</v>
      </c>
      <c r="E188" s="89" t="s">
        <v>1462</v>
      </c>
      <c r="F188" s="64"/>
      <c r="G188" s="68">
        <v>1.0</v>
      </c>
      <c r="H188" s="67" t="s">
        <v>804</v>
      </c>
      <c r="I188" s="89" t="s">
        <v>1463</v>
      </c>
      <c r="J188" s="89" t="s">
        <v>1461</v>
      </c>
      <c r="K188" s="89" t="s">
        <v>1462</v>
      </c>
      <c r="L188" s="64"/>
      <c r="M188" s="68">
        <v>1.0</v>
      </c>
      <c r="N188" s="67" t="s">
        <v>805</v>
      </c>
      <c r="O188" s="89" t="s">
        <v>1463</v>
      </c>
      <c r="P188" s="89" t="s">
        <v>1461</v>
      </c>
      <c r="Q188" s="89" t="s">
        <v>1462</v>
      </c>
      <c r="R188" s="64"/>
    </row>
    <row r="189">
      <c r="A189" s="68">
        <v>1.0</v>
      </c>
      <c r="B189" s="67" t="s">
        <v>806</v>
      </c>
      <c r="C189" s="89" t="s">
        <v>1463</v>
      </c>
      <c r="D189" s="89" t="s">
        <v>1461</v>
      </c>
      <c r="E189" s="89" t="s">
        <v>1462</v>
      </c>
      <c r="F189" s="64"/>
      <c r="G189" s="68">
        <v>1.0</v>
      </c>
      <c r="H189" s="67" t="s">
        <v>807</v>
      </c>
      <c r="I189" s="89" t="s">
        <v>1463</v>
      </c>
      <c r="J189" s="89" t="s">
        <v>1461</v>
      </c>
      <c r="K189" s="89" t="s">
        <v>1462</v>
      </c>
      <c r="L189" s="64"/>
      <c r="M189" s="68">
        <v>1.0</v>
      </c>
      <c r="N189" s="67" t="s">
        <v>808</v>
      </c>
      <c r="O189" s="89" t="s">
        <v>1463</v>
      </c>
      <c r="P189" s="89" t="s">
        <v>1461</v>
      </c>
      <c r="Q189" s="89" t="s">
        <v>1462</v>
      </c>
      <c r="R189" s="64"/>
    </row>
    <row r="190">
      <c r="A190" s="68">
        <v>1.0</v>
      </c>
      <c r="B190" s="67" t="s">
        <v>810</v>
      </c>
      <c r="C190" s="89" t="s">
        <v>1463</v>
      </c>
      <c r="D190" s="89" t="s">
        <v>1461</v>
      </c>
      <c r="E190" s="89" t="s">
        <v>1462</v>
      </c>
      <c r="F190" s="64"/>
      <c r="G190" s="68">
        <v>1.0</v>
      </c>
      <c r="H190" s="67" t="s">
        <v>811</v>
      </c>
      <c r="I190" s="89" t="s">
        <v>1463</v>
      </c>
      <c r="J190" s="89" t="s">
        <v>1461</v>
      </c>
      <c r="K190" s="89" t="s">
        <v>1462</v>
      </c>
      <c r="L190" s="64"/>
      <c r="M190" s="64"/>
      <c r="N190" s="64"/>
      <c r="O190" s="64"/>
      <c r="P190" s="64"/>
      <c r="Q190" s="64"/>
      <c r="R190" s="64"/>
    </row>
    <row r="191">
      <c r="A191" s="68">
        <v>1.0</v>
      </c>
      <c r="B191" s="67" t="s">
        <v>812</v>
      </c>
      <c r="C191" s="89" t="s">
        <v>1463</v>
      </c>
      <c r="D191" s="89" t="s">
        <v>1461</v>
      </c>
      <c r="E191" s="89" t="s">
        <v>1462</v>
      </c>
      <c r="F191" s="64"/>
      <c r="G191" s="68">
        <v>1.0</v>
      </c>
      <c r="H191" s="67" t="s">
        <v>813</v>
      </c>
      <c r="I191" s="89" t="s">
        <v>1463</v>
      </c>
      <c r="J191" s="89" t="s">
        <v>1461</v>
      </c>
      <c r="K191" s="89" t="s">
        <v>1462</v>
      </c>
      <c r="L191" s="64"/>
      <c r="M191" s="64" t="s">
        <v>814</v>
      </c>
      <c r="O191" s="64"/>
      <c r="P191" s="64"/>
      <c r="Q191" s="64"/>
      <c r="R191" s="64"/>
    </row>
    <row r="192">
      <c r="A192" s="68">
        <v>1.0</v>
      </c>
      <c r="B192" s="67" t="s">
        <v>815</v>
      </c>
      <c r="C192" s="89" t="s">
        <v>1463</v>
      </c>
      <c r="D192" s="89" t="s">
        <v>1461</v>
      </c>
      <c r="E192" s="89" t="s">
        <v>1462</v>
      </c>
      <c r="F192" s="64"/>
      <c r="G192" s="68">
        <v>1.0</v>
      </c>
      <c r="H192" s="67" t="s">
        <v>816</v>
      </c>
      <c r="I192" s="89" t="s">
        <v>1463</v>
      </c>
      <c r="J192" s="89" t="s">
        <v>1461</v>
      </c>
      <c r="K192" s="89" t="s">
        <v>1462</v>
      </c>
      <c r="L192" s="64"/>
      <c r="M192" s="67" t="s">
        <v>45</v>
      </c>
      <c r="N192" s="67" t="s">
        <v>68</v>
      </c>
      <c r="O192" s="65" t="s">
        <v>1457</v>
      </c>
      <c r="P192" s="65" t="s">
        <v>1458</v>
      </c>
      <c r="Q192" s="67" t="s">
        <v>1459</v>
      </c>
      <c r="R192" s="64"/>
    </row>
    <row r="193">
      <c r="A193" s="68">
        <v>1.0</v>
      </c>
      <c r="B193" s="67" t="s">
        <v>817</v>
      </c>
      <c r="C193" s="89" t="s">
        <v>1463</v>
      </c>
      <c r="D193" s="89" t="s">
        <v>1461</v>
      </c>
      <c r="E193" s="89" t="s">
        <v>1462</v>
      </c>
      <c r="F193" s="64"/>
      <c r="G193" s="68">
        <v>1.0</v>
      </c>
      <c r="H193" s="67" t="s">
        <v>818</v>
      </c>
      <c r="I193" s="89" t="s">
        <v>1463</v>
      </c>
      <c r="J193" s="89" t="s">
        <v>1461</v>
      </c>
      <c r="K193" s="89" t="s">
        <v>1462</v>
      </c>
      <c r="L193" s="64"/>
      <c r="M193" s="68">
        <v>1.0</v>
      </c>
      <c r="N193" s="67" t="s">
        <v>819</v>
      </c>
      <c r="O193" s="89" t="s">
        <v>1463</v>
      </c>
      <c r="P193" s="89" t="s">
        <v>1461</v>
      </c>
      <c r="Q193" s="89" t="s">
        <v>1462</v>
      </c>
      <c r="R193" s="64"/>
    </row>
    <row r="194">
      <c r="A194" s="68">
        <v>1.0</v>
      </c>
      <c r="B194" s="67" t="s">
        <v>820</v>
      </c>
      <c r="C194" s="89" t="s">
        <v>1463</v>
      </c>
      <c r="D194" s="89" t="s">
        <v>1461</v>
      </c>
      <c r="E194" s="89" t="s">
        <v>1462</v>
      </c>
      <c r="F194" s="64"/>
      <c r="G194" s="68">
        <v>1.0</v>
      </c>
      <c r="H194" s="67" t="s">
        <v>821</v>
      </c>
      <c r="I194" s="89" t="s">
        <v>1463</v>
      </c>
      <c r="J194" s="89" t="s">
        <v>1461</v>
      </c>
      <c r="K194" s="89" t="s">
        <v>1462</v>
      </c>
      <c r="L194" s="64"/>
      <c r="M194" s="68">
        <v>1.0</v>
      </c>
      <c r="N194" s="67" t="s">
        <v>822</v>
      </c>
      <c r="O194" s="89" t="s">
        <v>1463</v>
      </c>
      <c r="P194" s="89" t="s">
        <v>1461</v>
      </c>
      <c r="Q194" s="89" t="s">
        <v>1462</v>
      </c>
      <c r="R194" s="64"/>
    </row>
    <row r="195">
      <c r="A195" s="68">
        <v>1.0</v>
      </c>
      <c r="B195" s="67" t="s">
        <v>823</v>
      </c>
      <c r="C195" s="89" t="s">
        <v>1463</v>
      </c>
      <c r="D195" s="89" t="s">
        <v>1461</v>
      </c>
      <c r="E195" s="89" t="s">
        <v>1462</v>
      </c>
      <c r="F195" s="64"/>
      <c r="G195" s="68">
        <v>1.0</v>
      </c>
      <c r="H195" s="67" t="s">
        <v>824</v>
      </c>
      <c r="I195" s="89" t="s">
        <v>1463</v>
      </c>
      <c r="J195" s="89" t="s">
        <v>1461</v>
      </c>
      <c r="K195" s="89" t="s">
        <v>1462</v>
      </c>
      <c r="L195" s="64"/>
      <c r="M195" s="68">
        <v>1.0</v>
      </c>
      <c r="N195" s="67" t="s">
        <v>825</v>
      </c>
      <c r="O195" s="89" t="s">
        <v>1463</v>
      </c>
      <c r="P195" s="89" t="s">
        <v>1461</v>
      </c>
      <c r="Q195" s="89" t="s">
        <v>1462</v>
      </c>
      <c r="R195" s="64"/>
    </row>
    <row r="196">
      <c r="A196" s="68">
        <v>1.0</v>
      </c>
      <c r="B196" s="67" t="s">
        <v>826</v>
      </c>
      <c r="C196" s="89" t="s">
        <v>1463</v>
      </c>
      <c r="D196" s="89" t="s">
        <v>1461</v>
      </c>
      <c r="E196" s="89" t="s">
        <v>1462</v>
      </c>
      <c r="F196" s="64"/>
      <c r="G196" s="68">
        <v>1.0</v>
      </c>
      <c r="H196" s="67" t="s">
        <v>827</v>
      </c>
      <c r="I196" s="89" t="s">
        <v>1463</v>
      </c>
      <c r="J196" s="89" t="s">
        <v>1461</v>
      </c>
      <c r="K196" s="89" t="s">
        <v>1462</v>
      </c>
      <c r="L196" s="64"/>
      <c r="M196" s="68">
        <v>1.0</v>
      </c>
      <c r="N196" s="67" t="s">
        <v>828</v>
      </c>
      <c r="O196" s="89" t="s">
        <v>1463</v>
      </c>
      <c r="P196" s="89" t="s">
        <v>1461</v>
      </c>
      <c r="Q196" s="89" t="s">
        <v>1462</v>
      </c>
      <c r="R196" s="64"/>
    </row>
    <row r="197">
      <c r="A197" s="68">
        <v>1.0</v>
      </c>
      <c r="B197" s="67" t="s">
        <v>829</v>
      </c>
      <c r="C197" s="89" t="s">
        <v>1463</v>
      </c>
      <c r="D197" s="89" t="s">
        <v>1461</v>
      </c>
      <c r="E197" s="89" t="s">
        <v>1462</v>
      </c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>
      <c r="A198" s="68">
        <v>1.0</v>
      </c>
      <c r="B198" s="67" t="s">
        <v>830</v>
      </c>
      <c r="C198" s="89" t="s">
        <v>1463</v>
      </c>
      <c r="D198" s="89" t="s">
        <v>1461</v>
      </c>
      <c r="E198" s="89" t="s">
        <v>1462</v>
      </c>
      <c r="F198" s="64"/>
      <c r="G198" s="64"/>
      <c r="H198" s="64"/>
      <c r="I198" s="64"/>
      <c r="J198" s="64"/>
      <c r="K198" s="64"/>
      <c r="L198" s="64"/>
      <c r="M198" s="64" t="s">
        <v>831</v>
      </c>
      <c r="O198" s="64"/>
      <c r="P198" s="64"/>
      <c r="Q198" s="64"/>
      <c r="R198" s="64"/>
    </row>
    <row r="199">
      <c r="A199" s="68">
        <v>1.0</v>
      </c>
      <c r="B199" s="67" t="s">
        <v>832</v>
      </c>
      <c r="C199" s="89" t="s">
        <v>1463</v>
      </c>
      <c r="D199" s="89" t="s">
        <v>1461</v>
      </c>
      <c r="E199" s="89" t="s">
        <v>1462</v>
      </c>
      <c r="F199" s="64"/>
      <c r="G199" s="64" t="s">
        <v>833</v>
      </c>
      <c r="I199" s="64"/>
      <c r="J199" s="64"/>
      <c r="K199" s="64"/>
      <c r="L199" s="64"/>
      <c r="M199" s="67" t="s">
        <v>45</v>
      </c>
      <c r="N199" s="67" t="s">
        <v>68</v>
      </c>
      <c r="O199" s="65" t="s">
        <v>1457</v>
      </c>
      <c r="P199" s="65" t="s">
        <v>1458</v>
      </c>
      <c r="Q199" s="67" t="s">
        <v>1459</v>
      </c>
      <c r="R199" s="64"/>
    </row>
    <row r="200">
      <c r="A200" s="68">
        <v>1.0</v>
      </c>
      <c r="B200" s="67" t="s">
        <v>834</v>
      </c>
      <c r="C200" s="89" t="s">
        <v>1463</v>
      </c>
      <c r="D200" s="89" t="s">
        <v>1461</v>
      </c>
      <c r="E200" s="89" t="s">
        <v>1462</v>
      </c>
      <c r="F200" s="64"/>
      <c r="G200" s="67" t="s">
        <v>45</v>
      </c>
      <c r="H200" s="67" t="s">
        <v>68</v>
      </c>
      <c r="I200" s="65" t="s">
        <v>1457</v>
      </c>
      <c r="J200" s="65" t="s">
        <v>1458</v>
      </c>
      <c r="K200" s="67" t="s">
        <v>1459</v>
      </c>
      <c r="L200" s="64"/>
      <c r="M200" s="68">
        <v>1.0</v>
      </c>
      <c r="N200" s="67" t="s">
        <v>835</v>
      </c>
      <c r="O200" s="89" t="s">
        <v>1463</v>
      </c>
      <c r="P200" s="89" t="s">
        <v>1461</v>
      </c>
      <c r="Q200" s="89" t="s">
        <v>1462</v>
      </c>
      <c r="R200" s="64"/>
    </row>
    <row r="201">
      <c r="A201" s="68">
        <v>1.0</v>
      </c>
      <c r="B201" s="67" t="s">
        <v>836</v>
      </c>
      <c r="C201" s="89" t="s">
        <v>1463</v>
      </c>
      <c r="D201" s="89" t="s">
        <v>1461</v>
      </c>
      <c r="E201" s="89" t="s">
        <v>1462</v>
      </c>
      <c r="F201" s="64"/>
      <c r="G201" s="68">
        <v>3.0</v>
      </c>
      <c r="H201" s="67" t="s">
        <v>837</v>
      </c>
      <c r="I201" s="89" t="s">
        <v>1460</v>
      </c>
      <c r="J201" s="89" t="s">
        <v>1461</v>
      </c>
      <c r="K201" s="89" t="s">
        <v>1462</v>
      </c>
      <c r="L201" s="64"/>
      <c r="M201" s="68">
        <v>1.0</v>
      </c>
      <c r="N201" s="67" t="s">
        <v>839</v>
      </c>
      <c r="O201" s="89" t="s">
        <v>1463</v>
      </c>
      <c r="P201" s="89" t="s">
        <v>1461</v>
      </c>
      <c r="Q201" s="89" t="s">
        <v>1462</v>
      </c>
      <c r="R201" s="64"/>
    </row>
    <row r="202">
      <c r="A202" s="68">
        <v>1.0</v>
      </c>
      <c r="B202" s="67" t="s">
        <v>840</v>
      </c>
      <c r="C202" s="89" t="s">
        <v>1463</v>
      </c>
      <c r="D202" s="89" t="s">
        <v>1461</v>
      </c>
      <c r="E202" s="89" t="s">
        <v>1462</v>
      </c>
      <c r="F202" s="64"/>
      <c r="G202" s="68">
        <v>1.0</v>
      </c>
      <c r="H202" s="67" t="s">
        <v>841</v>
      </c>
      <c r="I202" s="89" t="s">
        <v>1460</v>
      </c>
      <c r="J202" s="89" t="s">
        <v>1461</v>
      </c>
      <c r="K202" s="89" t="s">
        <v>1462</v>
      </c>
      <c r="L202" s="64"/>
      <c r="M202" s="68">
        <v>1.0</v>
      </c>
      <c r="N202" s="67" t="s">
        <v>843</v>
      </c>
      <c r="O202" s="89" t="s">
        <v>1463</v>
      </c>
      <c r="P202" s="89" t="s">
        <v>1461</v>
      </c>
      <c r="Q202" s="89" t="s">
        <v>1462</v>
      </c>
      <c r="R202" s="64"/>
    </row>
    <row r="203">
      <c r="A203" s="68">
        <v>1.0</v>
      </c>
      <c r="B203" s="67" t="s">
        <v>844</v>
      </c>
      <c r="C203" s="89" t="s">
        <v>1463</v>
      </c>
      <c r="D203" s="89" t="s">
        <v>1461</v>
      </c>
      <c r="E203" s="89" t="s">
        <v>1462</v>
      </c>
      <c r="F203" s="64"/>
      <c r="G203" s="64"/>
      <c r="H203" s="64"/>
      <c r="I203" s="64"/>
      <c r="J203" s="64"/>
      <c r="K203" s="64"/>
      <c r="L203" s="64"/>
      <c r="M203" s="68">
        <v>1.0</v>
      </c>
      <c r="N203" s="67" t="s">
        <v>845</v>
      </c>
      <c r="O203" s="89" t="s">
        <v>1463</v>
      </c>
      <c r="P203" s="89" t="s">
        <v>1461</v>
      </c>
      <c r="Q203" s="89" t="s">
        <v>1462</v>
      </c>
      <c r="R203" s="64"/>
    </row>
    <row r="204">
      <c r="A204" s="68">
        <v>1.0</v>
      </c>
      <c r="B204" s="67" t="s">
        <v>846</v>
      </c>
      <c r="C204" s="89" t="s">
        <v>1467</v>
      </c>
      <c r="D204" s="89" t="s">
        <v>1468</v>
      </c>
      <c r="E204" s="89" t="s">
        <v>1462</v>
      </c>
      <c r="F204" s="64"/>
      <c r="G204" s="64" t="s">
        <v>847</v>
      </c>
      <c r="I204" s="64"/>
      <c r="J204" s="64"/>
      <c r="K204" s="64"/>
      <c r="L204" s="64"/>
      <c r="M204" s="68">
        <v>1.0</v>
      </c>
      <c r="N204" s="67" t="s">
        <v>848</v>
      </c>
      <c r="O204" s="89" t="s">
        <v>1463</v>
      </c>
      <c r="P204" s="89" t="s">
        <v>1461</v>
      </c>
      <c r="Q204" s="89" t="s">
        <v>1462</v>
      </c>
      <c r="R204" s="64"/>
    </row>
    <row r="205">
      <c r="A205" s="68">
        <v>1.0</v>
      </c>
      <c r="B205" s="67" t="s">
        <v>849</v>
      </c>
      <c r="C205" s="89" t="s">
        <v>1470</v>
      </c>
      <c r="D205" s="89" t="s">
        <v>1471</v>
      </c>
      <c r="E205" s="89" t="s">
        <v>1462</v>
      </c>
      <c r="F205" s="64"/>
      <c r="G205" s="67" t="s">
        <v>45</v>
      </c>
      <c r="H205" s="67" t="s">
        <v>68</v>
      </c>
      <c r="I205" s="65" t="s">
        <v>1457</v>
      </c>
      <c r="J205" s="65" t="s">
        <v>1458</v>
      </c>
      <c r="K205" s="67" t="s">
        <v>1459</v>
      </c>
      <c r="L205" s="64"/>
      <c r="M205" s="68">
        <v>1.0</v>
      </c>
      <c r="N205" s="67" t="s">
        <v>850</v>
      </c>
      <c r="O205" s="89" t="s">
        <v>1463</v>
      </c>
      <c r="P205" s="89" t="s">
        <v>1461</v>
      </c>
      <c r="Q205" s="89" t="s">
        <v>1462</v>
      </c>
      <c r="R205" s="64"/>
    </row>
    <row r="206">
      <c r="A206" s="68">
        <v>1.0</v>
      </c>
      <c r="B206" s="67" t="s">
        <v>851</v>
      </c>
      <c r="C206" s="89" t="s">
        <v>1470</v>
      </c>
      <c r="D206" s="89" t="s">
        <v>1471</v>
      </c>
      <c r="E206" s="89" t="s">
        <v>1462</v>
      </c>
      <c r="F206" s="64"/>
      <c r="G206" s="68">
        <v>1.0</v>
      </c>
      <c r="H206" s="67" t="s">
        <v>852</v>
      </c>
      <c r="I206" s="89" t="s">
        <v>1463</v>
      </c>
      <c r="J206" s="89" t="s">
        <v>1461</v>
      </c>
      <c r="K206" s="89" t="s">
        <v>1462</v>
      </c>
      <c r="L206" s="64"/>
      <c r="M206" s="68">
        <v>1.0</v>
      </c>
      <c r="N206" s="67" t="s">
        <v>854</v>
      </c>
      <c r="O206" s="89" t="s">
        <v>1463</v>
      </c>
      <c r="P206" s="89" t="s">
        <v>1461</v>
      </c>
      <c r="Q206" s="89" t="s">
        <v>1462</v>
      </c>
      <c r="R206" s="64"/>
    </row>
    <row r="207">
      <c r="A207" s="68">
        <v>1.0</v>
      </c>
      <c r="B207" s="67" t="s">
        <v>855</v>
      </c>
      <c r="C207" s="89" t="s">
        <v>1470</v>
      </c>
      <c r="D207" s="89" t="s">
        <v>1471</v>
      </c>
      <c r="E207" s="89" t="s">
        <v>1462</v>
      </c>
      <c r="F207" s="64"/>
      <c r="G207" s="68">
        <v>1.0</v>
      </c>
      <c r="H207" s="67" t="s">
        <v>856</v>
      </c>
      <c r="I207" s="89" t="s">
        <v>1463</v>
      </c>
      <c r="J207" s="89" t="s">
        <v>1461</v>
      </c>
      <c r="K207" s="89" t="s">
        <v>1462</v>
      </c>
      <c r="L207" s="64"/>
      <c r="M207" s="68">
        <v>1.0</v>
      </c>
      <c r="N207" s="67" t="s">
        <v>858</v>
      </c>
      <c r="O207" s="89" t="s">
        <v>1463</v>
      </c>
      <c r="P207" s="89" t="s">
        <v>1461</v>
      </c>
      <c r="Q207" s="89" t="s">
        <v>1462</v>
      </c>
      <c r="R207" s="64"/>
    </row>
    <row r="208">
      <c r="A208" s="68">
        <v>1.0</v>
      </c>
      <c r="B208" s="67" t="s">
        <v>859</v>
      </c>
      <c r="C208" s="89" t="s">
        <v>1470</v>
      </c>
      <c r="D208" s="89" t="s">
        <v>1471</v>
      </c>
      <c r="E208" s="89" t="s">
        <v>1462</v>
      </c>
      <c r="F208" s="64"/>
      <c r="G208" s="68">
        <v>1.0</v>
      </c>
      <c r="H208" s="67" t="s">
        <v>860</v>
      </c>
      <c r="I208" s="89" t="s">
        <v>1463</v>
      </c>
      <c r="J208" s="89" t="s">
        <v>1461</v>
      </c>
      <c r="K208" s="89" t="s">
        <v>1462</v>
      </c>
      <c r="L208" s="64"/>
      <c r="M208" s="68">
        <v>1.0</v>
      </c>
      <c r="N208" s="67" t="s">
        <v>861</v>
      </c>
      <c r="O208" s="89" t="s">
        <v>1463</v>
      </c>
      <c r="P208" s="89" t="s">
        <v>1461</v>
      </c>
      <c r="Q208" s="89" t="s">
        <v>1462</v>
      </c>
      <c r="R208" s="64"/>
    </row>
    <row r="209">
      <c r="A209" s="68">
        <v>1.0</v>
      </c>
      <c r="B209" s="67" t="s">
        <v>862</v>
      </c>
      <c r="C209" s="89" t="s">
        <v>1470</v>
      </c>
      <c r="D209" s="89" t="s">
        <v>1471</v>
      </c>
      <c r="E209" s="89" t="s">
        <v>1462</v>
      </c>
      <c r="F209" s="64"/>
      <c r="G209" s="68">
        <v>1.0</v>
      </c>
      <c r="H209" s="67" t="s">
        <v>863</v>
      </c>
      <c r="I209" s="89" t="s">
        <v>1463</v>
      </c>
      <c r="J209" s="89" t="s">
        <v>1461</v>
      </c>
      <c r="K209" s="89" t="s">
        <v>1462</v>
      </c>
      <c r="L209" s="64"/>
      <c r="M209" s="68">
        <v>1.0</v>
      </c>
      <c r="N209" s="67" t="s">
        <v>864</v>
      </c>
      <c r="O209" s="89" t="s">
        <v>1463</v>
      </c>
      <c r="P209" s="89" t="s">
        <v>1461</v>
      </c>
      <c r="Q209" s="89" t="s">
        <v>1462</v>
      </c>
      <c r="R209" s="64"/>
    </row>
    <row r="210">
      <c r="A210" s="68">
        <v>1.0</v>
      </c>
      <c r="B210" s="67" t="s">
        <v>865</v>
      </c>
      <c r="C210" s="89" t="s">
        <v>1470</v>
      </c>
      <c r="D210" s="89" t="s">
        <v>1471</v>
      </c>
      <c r="E210" s="89" t="s">
        <v>1462</v>
      </c>
      <c r="F210" s="64"/>
      <c r="G210" s="64"/>
      <c r="H210" s="64"/>
      <c r="I210" s="64"/>
      <c r="J210" s="64"/>
      <c r="K210" s="64"/>
      <c r="L210" s="64"/>
      <c r="M210" s="68">
        <v>1.0</v>
      </c>
      <c r="N210" s="67" t="s">
        <v>866</v>
      </c>
      <c r="O210" s="89" t="s">
        <v>1463</v>
      </c>
      <c r="P210" s="89" t="s">
        <v>1461</v>
      </c>
      <c r="Q210" s="89" t="s">
        <v>1462</v>
      </c>
      <c r="R210" s="64"/>
    </row>
    <row r="211">
      <c r="A211" s="68">
        <v>1.0</v>
      </c>
      <c r="B211" s="67" t="s">
        <v>867</v>
      </c>
      <c r="C211" s="89" t="s">
        <v>1470</v>
      </c>
      <c r="D211" s="89" t="s">
        <v>1471</v>
      </c>
      <c r="E211" s="89" t="s">
        <v>1462</v>
      </c>
      <c r="F211" s="64"/>
      <c r="G211" s="64" t="s">
        <v>868</v>
      </c>
      <c r="I211" s="64"/>
      <c r="J211" s="64"/>
      <c r="K211" s="64"/>
      <c r="L211" s="64"/>
      <c r="M211" s="68">
        <v>1.0</v>
      </c>
      <c r="N211" s="67" t="s">
        <v>869</v>
      </c>
      <c r="O211" s="89" t="s">
        <v>1463</v>
      </c>
      <c r="P211" s="89" t="s">
        <v>1461</v>
      </c>
      <c r="Q211" s="89" t="s">
        <v>1462</v>
      </c>
      <c r="R211" s="64"/>
    </row>
    <row r="212">
      <c r="A212" s="68">
        <v>1.0</v>
      </c>
      <c r="B212" s="67" t="s">
        <v>870</v>
      </c>
      <c r="C212" s="89" t="s">
        <v>1470</v>
      </c>
      <c r="D212" s="89" t="s">
        <v>1471</v>
      </c>
      <c r="E212" s="89" t="s">
        <v>1462</v>
      </c>
      <c r="F212" s="64"/>
      <c r="G212" s="67" t="s">
        <v>45</v>
      </c>
      <c r="H212" s="67" t="s">
        <v>68</v>
      </c>
      <c r="I212" s="65" t="s">
        <v>1457</v>
      </c>
      <c r="J212" s="65" t="s">
        <v>1458</v>
      </c>
      <c r="K212" s="67" t="s">
        <v>1459</v>
      </c>
      <c r="L212" s="64"/>
      <c r="M212" s="68">
        <v>1.0</v>
      </c>
      <c r="N212" s="67" t="s">
        <v>871</v>
      </c>
      <c r="O212" s="89" t="s">
        <v>1463</v>
      </c>
      <c r="P212" s="89" t="s">
        <v>1461</v>
      </c>
      <c r="Q212" s="89" t="s">
        <v>1462</v>
      </c>
      <c r="R212" s="64"/>
    </row>
    <row r="213">
      <c r="A213" s="68">
        <v>1.0</v>
      </c>
      <c r="B213" s="67" t="s">
        <v>872</v>
      </c>
      <c r="C213" s="89" t="s">
        <v>1470</v>
      </c>
      <c r="D213" s="89" t="s">
        <v>1471</v>
      </c>
      <c r="E213" s="89" t="s">
        <v>1462</v>
      </c>
      <c r="F213" s="64"/>
      <c r="G213" s="68">
        <v>1.0</v>
      </c>
      <c r="H213" s="67" t="s">
        <v>873</v>
      </c>
      <c r="I213" s="89" t="s">
        <v>1463</v>
      </c>
      <c r="J213" s="89" t="s">
        <v>1461</v>
      </c>
      <c r="K213" s="89" t="s">
        <v>1462</v>
      </c>
      <c r="L213" s="64"/>
      <c r="M213" s="68">
        <v>1.0</v>
      </c>
      <c r="N213" s="67" t="s">
        <v>874</v>
      </c>
      <c r="O213" s="89" t="s">
        <v>1463</v>
      </c>
      <c r="P213" s="89" t="s">
        <v>1461</v>
      </c>
      <c r="Q213" s="89" t="s">
        <v>1462</v>
      </c>
      <c r="R213" s="64"/>
    </row>
    <row r="214">
      <c r="A214" s="68">
        <v>1.0</v>
      </c>
      <c r="B214" s="67" t="s">
        <v>875</v>
      </c>
      <c r="C214" s="89" t="s">
        <v>1470</v>
      </c>
      <c r="D214" s="89" t="s">
        <v>1471</v>
      </c>
      <c r="E214" s="89" t="s">
        <v>1462</v>
      </c>
      <c r="F214" s="64"/>
      <c r="G214" s="68">
        <v>1.0</v>
      </c>
      <c r="H214" s="67" t="s">
        <v>876</v>
      </c>
      <c r="I214" s="89" t="s">
        <v>1463</v>
      </c>
      <c r="J214" s="89" t="s">
        <v>1461</v>
      </c>
      <c r="K214" s="89" t="s">
        <v>1462</v>
      </c>
      <c r="L214" s="64"/>
      <c r="M214" s="68">
        <v>1.0</v>
      </c>
      <c r="N214" s="67" t="s">
        <v>877</v>
      </c>
      <c r="O214" s="89" t="s">
        <v>1463</v>
      </c>
      <c r="P214" s="89" t="s">
        <v>1461</v>
      </c>
      <c r="Q214" s="89" t="s">
        <v>1462</v>
      </c>
      <c r="R214" s="64"/>
    </row>
    <row r="215">
      <c r="A215" s="68">
        <v>1.0</v>
      </c>
      <c r="B215" s="67" t="s">
        <v>878</v>
      </c>
      <c r="C215" s="89" t="s">
        <v>1470</v>
      </c>
      <c r="D215" s="89" t="s">
        <v>1471</v>
      </c>
      <c r="E215" s="89" t="s">
        <v>1462</v>
      </c>
      <c r="F215" s="64"/>
      <c r="G215" s="68">
        <v>1.0</v>
      </c>
      <c r="H215" s="67" t="s">
        <v>879</v>
      </c>
      <c r="I215" s="89" t="s">
        <v>1463</v>
      </c>
      <c r="J215" s="89" t="s">
        <v>1461</v>
      </c>
      <c r="K215" s="89" t="s">
        <v>1462</v>
      </c>
      <c r="L215" s="64"/>
      <c r="M215" s="64"/>
      <c r="N215" s="64"/>
      <c r="O215" s="64"/>
      <c r="P215" s="64"/>
      <c r="Q215" s="64"/>
      <c r="R215" s="64"/>
    </row>
    <row r="216">
      <c r="A216" s="68">
        <v>1.0</v>
      </c>
      <c r="B216" s="67" t="s">
        <v>880</v>
      </c>
      <c r="C216" s="89" t="s">
        <v>1470</v>
      </c>
      <c r="D216" s="89" t="s">
        <v>1471</v>
      </c>
      <c r="E216" s="89" t="s">
        <v>1462</v>
      </c>
      <c r="F216" s="64"/>
      <c r="G216" s="68">
        <v>1.0</v>
      </c>
      <c r="H216" s="67" t="s">
        <v>881</v>
      </c>
      <c r="I216" s="89" t="s">
        <v>1463</v>
      </c>
      <c r="J216" s="89" t="s">
        <v>1461</v>
      </c>
      <c r="K216" s="89" t="s">
        <v>1462</v>
      </c>
      <c r="L216" s="64"/>
      <c r="M216" s="64" t="s">
        <v>882</v>
      </c>
      <c r="O216" s="64"/>
      <c r="P216" s="64"/>
      <c r="Q216" s="64"/>
      <c r="R216" s="64"/>
    </row>
    <row r="217">
      <c r="A217" s="68">
        <v>1.0</v>
      </c>
      <c r="B217" s="67" t="s">
        <v>883</v>
      </c>
      <c r="C217" s="89" t="s">
        <v>1470</v>
      </c>
      <c r="D217" s="89" t="s">
        <v>1471</v>
      </c>
      <c r="E217" s="89" t="s">
        <v>1462</v>
      </c>
      <c r="F217" s="64"/>
      <c r="G217" s="68">
        <v>2.0</v>
      </c>
      <c r="H217" s="67" t="s">
        <v>884</v>
      </c>
      <c r="I217" s="89" t="s">
        <v>1463</v>
      </c>
      <c r="J217" s="89" t="s">
        <v>1461</v>
      </c>
      <c r="K217" s="89" t="s">
        <v>1462</v>
      </c>
      <c r="L217" s="64"/>
      <c r="M217" s="67" t="s">
        <v>45</v>
      </c>
      <c r="N217" s="67" t="s">
        <v>68</v>
      </c>
      <c r="O217" s="65" t="s">
        <v>1457</v>
      </c>
      <c r="P217" s="65" t="s">
        <v>1458</v>
      </c>
      <c r="Q217" s="67" t="s">
        <v>1459</v>
      </c>
      <c r="R217" s="64"/>
    </row>
    <row r="218">
      <c r="A218" s="68">
        <v>1.0</v>
      </c>
      <c r="B218" s="67" t="s">
        <v>885</v>
      </c>
      <c r="C218" s="89" t="s">
        <v>1470</v>
      </c>
      <c r="D218" s="89" t="s">
        <v>1471</v>
      </c>
      <c r="E218" s="89" t="s">
        <v>1462</v>
      </c>
      <c r="F218" s="64"/>
      <c r="G218" s="68">
        <v>1.0</v>
      </c>
      <c r="H218" s="67" t="s">
        <v>886</v>
      </c>
      <c r="I218" s="89" t="s">
        <v>1463</v>
      </c>
      <c r="J218" s="89" t="s">
        <v>1461</v>
      </c>
      <c r="K218" s="89" t="s">
        <v>1462</v>
      </c>
      <c r="L218" s="64"/>
      <c r="M218" s="68">
        <v>2.0</v>
      </c>
      <c r="N218" s="67" t="s">
        <v>887</v>
      </c>
      <c r="O218" s="89" t="s">
        <v>1463</v>
      </c>
      <c r="P218" s="89" t="s">
        <v>1461</v>
      </c>
      <c r="Q218" s="89" t="s">
        <v>1462</v>
      </c>
      <c r="R218" s="64"/>
    </row>
    <row r="219">
      <c r="A219" s="68">
        <v>1.0</v>
      </c>
      <c r="B219" s="67" t="s">
        <v>888</v>
      </c>
      <c r="C219" s="89" t="s">
        <v>1470</v>
      </c>
      <c r="D219" s="89" t="s">
        <v>1471</v>
      </c>
      <c r="E219" s="89" t="s">
        <v>1462</v>
      </c>
      <c r="F219" s="64"/>
      <c r="G219" s="68">
        <v>1.0</v>
      </c>
      <c r="H219" s="67" t="s">
        <v>889</v>
      </c>
      <c r="I219" s="89" t="s">
        <v>1463</v>
      </c>
      <c r="J219" s="89" t="s">
        <v>1461</v>
      </c>
      <c r="K219" s="89" t="s">
        <v>1462</v>
      </c>
      <c r="L219" s="64"/>
      <c r="M219" s="68">
        <v>1.0</v>
      </c>
      <c r="N219" s="67" t="s">
        <v>890</v>
      </c>
      <c r="O219" s="89" t="s">
        <v>1463</v>
      </c>
      <c r="P219" s="89" t="s">
        <v>1461</v>
      </c>
      <c r="Q219" s="89" t="s">
        <v>1462</v>
      </c>
      <c r="R219" s="64"/>
    </row>
    <row r="220">
      <c r="A220" s="68">
        <v>1.0</v>
      </c>
      <c r="B220" s="67" t="s">
        <v>891</v>
      </c>
      <c r="C220" s="89" t="s">
        <v>1470</v>
      </c>
      <c r="D220" s="89" t="s">
        <v>1471</v>
      </c>
      <c r="E220" s="89" t="s">
        <v>1462</v>
      </c>
      <c r="F220" s="64"/>
      <c r="G220" s="68">
        <v>1.0</v>
      </c>
      <c r="H220" s="67" t="s">
        <v>892</v>
      </c>
      <c r="I220" s="89" t="s">
        <v>1463</v>
      </c>
      <c r="J220" s="89" t="s">
        <v>1461</v>
      </c>
      <c r="K220" s="89" t="s">
        <v>1462</v>
      </c>
      <c r="L220" s="64"/>
      <c r="M220" s="68">
        <v>2.0</v>
      </c>
      <c r="N220" s="67" t="s">
        <v>893</v>
      </c>
      <c r="O220" s="89" t="s">
        <v>1463</v>
      </c>
      <c r="P220" s="89" t="s">
        <v>1461</v>
      </c>
      <c r="Q220" s="89" t="s">
        <v>1462</v>
      </c>
      <c r="R220" s="64"/>
    </row>
    <row r="221">
      <c r="A221" s="64"/>
      <c r="B221" s="64"/>
      <c r="C221" s="64"/>
      <c r="D221" s="64"/>
      <c r="E221" s="64"/>
      <c r="F221" s="64"/>
      <c r="G221" s="68">
        <v>1.0</v>
      </c>
      <c r="H221" s="67" t="s">
        <v>894</v>
      </c>
      <c r="I221" s="89" t="s">
        <v>1463</v>
      </c>
      <c r="J221" s="89" t="s">
        <v>1461</v>
      </c>
      <c r="K221" s="89" t="s">
        <v>1462</v>
      </c>
      <c r="L221" s="64"/>
      <c r="M221" s="68">
        <v>1.0</v>
      </c>
      <c r="N221" s="67" t="s">
        <v>895</v>
      </c>
      <c r="O221" s="89" t="s">
        <v>1463</v>
      </c>
      <c r="P221" s="89" t="s">
        <v>1461</v>
      </c>
      <c r="Q221" s="89" t="s">
        <v>1462</v>
      </c>
      <c r="R221" s="64"/>
    </row>
    <row r="222">
      <c r="A222" s="64" t="s">
        <v>896</v>
      </c>
      <c r="C222" s="64"/>
      <c r="D222" s="64"/>
      <c r="E222" s="64"/>
      <c r="F222" s="64"/>
      <c r="G222" s="68">
        <v>1.0</v>
      </c>
      <c r="H222" s="67" t="s">
        <v>897</v>
      </c>
      <c r="I222" s="89" t="s">
        <v>1463</v>
      </c>
      <c r="J222" s="89" t="s">
        <v>1461</v>
      </c>
      <c r="K222" s="89" t="s">
        <v>1462</v>
      </c>
      <c r="L222" s="64"/>
      <c r="M222" s="68">
        <v>1.0</v>
      </c>
      <c r="N222" s="67" t="s">
        <v>898</v>
      </c>
      <c r="O222" s="89" t="s">
        <v>1463</v>
      </c>
      <c r="P222" s="89" t="s">
        <v>1461</v>
      </c>
      <c r="Q222" s="89" t="s">
        <v>1462</v>
      </c>
      <c r="R222" s="64"/>
    </row>
    <row r="223">
      <c r="A223" s="67" t="s">
        <v>45</v>
      </c>
      <c r="B223" s="67" t="s">
        <v>68</v>
      </c>
      <c r="C223" s="65" t="s">
        <v>1457</v>
      </c>
      <c r="D223" s="65" t="s">
        <v>1458</v>
      </c>
      <c r="E223" s="67" t="s">
        <v>1459</v>
      </c>
      <c r="F223" s="64"/>
      <c r="G223" s="68">
        <v>1.0</v>
      </c>
      <c r="H223" s="67" t="s">
        <v>899</v>
      </c>
      <c r="I223" s="89" t="s">
        <v>1463</v>
      </c>
      <c r="J223" s="89" t="s">
        <v>1461</v>
      </c>
      <c r="K223" s="89" t="s">
        <v>1462</v>
      </c>
      <c r="L223" s="64"/>
      <c r="M223" s="68">
        <v>1.0</v>
      </c>
      <c r="N223" s="67" t="s">
        <v>900</v>
      </c>
      <c r="O223" s="89" t="s">
        <v>1463</v>
      </c>
      <c r="P223" s="89" t="s">
        <v>1461</v>
      </c>
      <c r="Q223" s="89" t="s">
        <v>1462</v>
      </c>
      <c r="R223" s="64"/>
    </row>
    <row r="224">
      <c r="A224" s="68">
        <v>1.0</v>
      </c>
      <c r="B224" s="67" t="s">
        <v>901</v>
      </c>
      <c r="C224" s="89" t="s">
        <v>1463</v>
      </c>
      <c r="D224" s="89" t="s">
        <v>1461</v>
      </c>
      <c r="E224" s="89" t="s">
        <v>1462</v>
      </c>
      <c r="F224" s="64"/>
      <c r="G224" s="68">
        <v>1.0</v>
      </c>
      <c r="H224" s="67" t="s">
        <v>902</v>
      </c>
      <c r="I224" s="89" t="s">
        <v>1463</v>
      </c>
      <c r="J224" s="89" t="s">
        <v>1461</v>
      </c>
      <c r="K224" s="89" t="s">
        <v>1462</v>
      </c>
      <c r="L224" s="64"/>
      <c r="M224" s="68">
        <v>1.0</v>
      </c>
      <c r="N224" s="67" t="s">
        <v>903</v>
      </c>
      <c r="O224" s="89" t="s">
        <v>1463</v>
      </c>
      <c r="P224" s="89" t="s">
        <v>1461</v>
      </c>
      <c r="Q224" s="89" t="s">
        <v>1462</v>
      </c>
      <c r="R224" s="64"/>
    </row>
    <row r="225">
      <c r="A225" s="68">
        <v>1.0</v>
      </c>
      <c r="B225" s="67" t="s">
        <v>904</v>
      </c>
      <c r="C225" s="89" t="s">
        <v>1463</v>
      </c>
      <c r="D225" s="89" t="s">
        <v>1461</v>
      </c>
      <c r="E225" s="89" t="s">
        <v>1462</v>
      </c>
      <c r="F225" s="64"/>
      <c r="G225" s="68">
        <v>1.0</v>
      </c>
      <c r="H225" s="67" t="s">
        <v>905</v>
      </c>
      <c r="I225" s="89" t="s">
        <v>1463</v>
      </c>
      <c r="J225" s="89" t="s">
        <v>1461</v>
      </c>
      <c r="K225" s="89" t="s">
        <v>1462</v>
      </c>
      <c r="L225" s="64"/>
      <c r="M225" s="68">
        <v>1.0</v>
      </c>
      <c r="N225" s="67" t="s">
        <v>906</v>
      </c>
      <c r="O225" s="89" t="s">
        <v>1463</v>
      </c>
      <c r="P225" s="89" t="s">
        <v>1461</v>
      </c>
      <c r="Q225" s="89" t="s">
        <v>1462</v>
      </c>
      <c r="R225" s="64"/>
    </row>
    <row r="226">
      <c r="A226" s="68">
        <v>1.0</v>
      </c>
      <c r="B226" s="67" t="s">
        <v>907</v>
      </c>
      <c r="C226" s="89" t="s">
        <v>1463</v>
      </c>
      <c r="D226" s="89" t="s">
        <v>1461</v>
      </c>
      <c r="E226" s="89" t="s">
        <v>1462</v>
      </c>
      <c r="F226" s="64"/>
      <c r="G226" s="68">
        <v>1.0</v>
      </c>
      <c r="H226" s="67" t="s">
        <v>908</v>
      </c>
      <c r="I226" s="89" t="s">
        <v>1463</v>
      </c>
      <c r="J226" s="89" t="s">
        <v>1461</v>
      </c>
      <c r="K226" s="89" t="s">
        <v>1462</v>
      </c>
      <c r="L226" s="64"/>
      <c r="M226" s="68">
        <v>1.0</v>
      </c>
      <c r="N226" s="67" t="s">
        <v>909</v>
      </c>
      <c r="O226" s="89" t="s">
        <v>1463</v>
      </c>
      <c r="P226" s="89" t="s">
        <v>1461</v>
      </c>
      <c r="Q226" s="89" t="s">
        <v>1462</v>
      </c>
      <c r="R226" s="64"/>
    </row>
    <row r="227">
      <c r="A227" s="68">
        <v>1.0</v>
      </c>
      <c r="B227" s="67" t="s">
        <v>910</v>
      </c>
      <c r="C227" s="89" t="s">
        <v>1463</v>
      </c>
      <c r="D227" s="89" t="s">
        <v>1461</v>
      </c>
      <c r="E227" s="89" t="s">
        <v>1462</v>
      </c>
      <c r="F227" s="64"/>
      <c r="G227" s="68">
        <v>1.0</v>
      </c>
      <c r="H227" s="67" t="s">
        <v>911</v>
      </c>
      <c r="I227" s="89" t="s">
        <v>1463</v>
      </c>
      <c r="J227" s="89" t="s">
        <v>1461</v>
      </c>
      <c r="K227" s="89" t="s">
        <v>1462</v>
      </c>
      <c r="L227" s="64"/>
      <c r="M227" s="68">
        <v>1.0</v>
      </c>
      <c r="N227" s="67" t="s">
        <v>912</v>
      </c>
      <c r="O227" s="89" t="s">
        <v>1463</v>
      </c>
      <c r="P227" s="89" t="s">
        <v>1461</v>
      </c>
      <c r="Q227" s="89" t="s">
        <v>1462</v>
      </c>
      <c r="R227" s="64"/>
    </row>
    <row r="228">
      <c r="A228" s="68">
        <v>1.0</v>
      </c>
      <c r="B228" s="67" t="s">
        <v>913</v>
      </c>
      <c r="C228" s="89" t="s">
        <v>1463</v>
      </c>
      <c r="D228" s="89" t="s">
        <v>1461</v>
      </c>
      <c r="E228" s="89" t="s">
        <v>1462</v>
      </c>
      <c r="F228" s="64"/>
      <c r="G228" s="68">
        <v>1.0</v>
      </c>
      <c r="H228" s="67" t="s">
        <v>914</v>
      </c>
      <c r="I228" s="89" t="s">
        <v>1463</v>
      </c>
      <c r="J228" s="89" t="s">
        <v>1461</v>
      </c>
      <c r="K228" s="89" t="s">
        <v>1462</v>
      </c>
      <c r="L228" s="64"/>
      <c r="M228" s="68">
        <v>1.0</v>
      </c>
      <c r="N228" s="67" t="s">
        <v>915</v>
      </c>
      <c r="O228" s="89" t="s">
        <v>1463</v>
      </c>
      <c r="P228" s="89" t="s">
        <v>1461</v>
      </c>
      <c r="Q228" s="89" t="s">
        <v>1462</v>
      </c>
      <c r="R228" s="64"/>
    </row>
    <row r="229">
      <c r="A229" s="68">
        <v>1.0</v>
      </c>
      <c r="B229" s="67" t="s">
        <v>916</v>
      </c>
      <c r="C229" s="89" t="s">
        <v>1463</v>
      </c>
      <c r="D229" s="89" t="s">
        <v>1461</v>
      </c>
      <c r="E229" s="89" t="s">
        <v>1462</v>
      </c>
      <c r="F229" s="64"/>
      <c r="G229" s="68">
        <v>2.0</v>
      </c>
      <c r="H229" s="67" t="s">
        <v>917</v>
      </c>
      <c r="I229" s="89" t="s">
        <v>1463</v>
      </c>
      <c r="J229" s="89" t="s">
        <v>1461</v>
      </c>
      <c r="K229" s="89" t="s">
        <v>1462</v>
      </c>
      <c r="L229" s="64"/>
      <c r="M229" s="68">
        <v>1.0</v>
      </c>
      <c r="N229" s="67" t="s">
        <v>918</v>
      </c>
      <c r="O229" s="89" t="s">
        <v>1463</v>
      </c>
      <c r="P229" s="89" t="s">
        <v>1461</v>
      </c>
      <c r="Q229" s="89" t="s">
        <v>1462</v>
      </c>
      <c r="R229" s="64"/>
    </row>
    <row r="230">
      <c r="A230" s="68">
        <v>1.0</v>
      </c>
      <c r="B230" s="67" t="s">
        <v>919</v>
      </c>
      <c r="C230" s="89" t="s">
        <v>1463</v>
      </c>
      <c r="D230" s="89" t="s">
        <v>1461</v>
      </c>
      <c r="E230" s="89" t="s">
        <v>1462</v>
      </c>
      <c r="F230" s="64"/>
      <c r="G230" s="68">
        <v>1.0</v>
      </c>
      <c r="H230" s="67" t="s">
        <v>920</v>
      </c>
      <c r="I230" s="89" t="s">
        <v>1463</v>
      </c>
      <c r="J230" s="89" t="s">
        <v>1461</v>
      </c>
      <c r="K230" s="89" t="s">
        <v>1462</v>
      </c>
      <c r="L230" s="64"/>
      <c r="M230" s="68">
        <v>1.0</v>
      </c>
      <c r="N230" s="67" t="s">
        <v>921</v>
      </c>
      <c r="O230" s="89" t="s">
        <v>1463</v>
      </c>
      <c r="P230" s="89" t="s">
        <v>1461</v>
      </c>
      <c r="Q230" s="89" t="s">
        <v>1462</v>
      </c>
      <c r="R230" s="64"/>
    </row>
    <row r="231">
      <c r="A231" s="68">
        <v>1.0</v>
      </c>
      <c r="B231" s="67" t="s">
        <v>922</v>
      </c>
      <c r="C231" s="89" t="s">
        <v>1463</v>
      </c>
      <c r="D231" s="89" t="s">
        <v>1461</v>
      </c>
      <c r="E231" s="89" t="s">
        <v>1462</v>
      </c>
      <c r="F231" s="64"/>
      <c r="G231" s="68">
        <v>1.0</v>
      </c>
      <c r="H231" s="67" t="s">
        <v>923</v>
      </c>
      <c r="I231" s="89" t="s">
        <v>1463</v>
      </c>
      <c r="J231" s="89" t="s">
        <v>1461</v>
      </c>
      <c r="K231" s="89" t="s">
        <v>1462</v>
      </c>
      <c r="L231" s="64"/>
      <c r="M231" s="68">
        <v>1.0</v>
      </c>
      <c r="N231" s="67" t="s">
        <v>924</v>
      </c>
      <c r="O231" s="89" t="s">
        <v>1463</v>
      </c>
      <c r="P231" s="89" t="s">
        <v>1461</v>
      </c>
      <c r="Q231" s="89" t="s">
        <v>1462</v>
      </c>
      <c r="R231" s="64"/>
    </row>
    <row r="232">
      <c r="A232" s="68">
        <v>1.0</v>
      </c>
      <c r="B232" s="67" t="s">
        <v>925</v>
      </c>
      <c r="C232" s="89" t="s">
        <v>1463</v>
      </c>
      <c r="D232" s="89" t="s">
        <v>1461</v>
      </c>
      <c r="E232" s="89" t="s">
        <v>1462</v>
      </c>
      <c r="F232" s="64"/>
      <c r="G232" s="68">
        <v>1.0</v>
      </c>
      <c r="H232" s="67" t="s">
        <v>926</v>
      </c>
      <c r="I232" s="89" t="s">
        <v>1463</v>
      </c>
      <c r="J232" s="89" t="s">
        <v>1461</v>
      </c>
      <c r="K232" s="89" t="s">
        <v>1462</v>
      </c>
      <c r="L232" s="64"/>
      <c r="M232" s="68">
        <v>1.0</v>
      </c>
      <c r="N232" s="67" t="s">
        <v>927</v>
      </c>
      <c r="O232" s="89" t="s">
        <v>1463</v>
      </c>
      <c r="P232" s="89" t="s">
        <v>1461</v>
      </c>
      <c r="Q232" s="89" t="s">
        <v>1462</v>
      </c>
      <c r="R232" s="64"/>
    </row>
    <row r="233">
      <c r="A233" s="68">
        <v>1.0</v>
      </c>
      <c r="B233" s="67" t="s">
        <v>928</v>
      </c>
      <c r="C233" s="89" t="s">
        <v>1463</v>
      </c>
      <c r="D233" s="89" t="s">
        <v>1461</v>
      </c>
      <c r="E233" s="89" t="s">
        <v>1462</v>
      </c>
      <c r="F233" s="64"/>
      <c r="G233" s="68">
        <v>1.0</v>
      </c>
      <c r="H233" s="67" t="s">
        <v>929</v>
      </c>
      <c r="I233" s="89" t="s">
        <v>1463</v>
      </c>
      <c r="J233" s="89" t="s">
        <v>1461</v>
      </c>
      <c r="K233" s="89" t="s">
        <v>1462</v>
      </c>
      <c r="L233" s="64"/>
      <c r="M233" s="68">
        <v>1.0</v>
      </c>
      <c r="N233" s="67" t="s">
        <v>930</v>
      </c>
      <c r="O233" s="89" t="s">
        <v>1463</v>
      </c>
      <c r="P233" s="89" t="s">
        <v>1461</v>
      </c>
      <c r="Q233" s="89" t="s">
        <v>1462</v>
      </c>
      <c r="R233" s="64"/>
    </row>
    <row r="234">
      <c r="A234" s="68">
        <v>1.0</v>
      </c>
      <c r="B234" s="67" t="s">
        <v>931</v>
      </c>
      <c r="C234" s="89" t="s">
        <v>1463</v>
      </c>
      <c r="D234" s="89" t="s">
        <v>1461</v>
      </c>
      <c r="E234" s="89" t="s">
        <v>1462</v>
      </c>
      <c r="F234" s="64"/>
      <c r="G234" s="68">
        <v>1.0</v>
      </c>
      <c r="H234" s="67" t="s">
        <v>932</v>
      </c>
      <c r="I234" s="89" t="s">
        <v>1463</v>
      </c>
      <c r="J234" s="89" t="s">
        <v>1461</v>
      </c>
      <c r="K234" s="89" t="s">
        <v>1462</v>
      </c>
      <c r="L234" s="64"/>
      <c r="M234" s="68">
        <v>2.0</v>
      </c>
      <c r="N234" s="67" t="s">
        <v>933</v>
      </c>
      <c r="O234" s="89" t="s">
        <v>1463</v>
      </c>
      <c r="P234" s="89" t="s">
        <v>1461</v>
      </c>
      <c r="Q234" s="89" t="s">
        <v>1462</v>
      </c>
      <c r="R234" s="64"/>
    </row>
    <row r="235">
      <c r="A235" s="68">
        <v>1.0</v>
      </c>
      <c r="B235" s="67" t="s">
        <v>934</v>
      </c>
      <c r="C235" s="89" t="s">
        <v>1463</v>
      </c>
      <c r="D235" s="89" t="s">
        <v>1461</v>
      </c>
      <c r="E235" s="89" t="s">
        <v>1462</v>
      </c>
      <c r="F235" s="64"/>
      <c r="G235" s="68">
        <v>1.0</v>
      </c>
      <c r="H235" s="67" t="s">
        <v>935</v>
      </c>
      <c r="I235" s="89" t="s">
        <v>1463</v>
      </c>
      <c r="J235" s="89" t="s">
        <v>1461</v>
      </c>
      <c r="K235" s="89" t="s">
        <v>1462</v>
      </c>
      <c r="L235" s="64"/>
      <c r="M235" s="68">
        <v>1.0</v>
      </c>
      <c r="N235" s="67" t="s">
        <v>936</v>
      </c>
      <c r="O235" s="89" t="s">
        <v>1463</v>
      </c>
      <c r="P235" s="89" t="s">
        <v>1461</v>
      </c>
      <c r="Q235" s="89" t="s">
        <v>1462</v>
      </c>
      <c r="R235" s="64"/>
    </row>
    <row r="236">
      <c r="A236" s="68">
        <v>1.0</v>
      </c>
      <c r="B236" s="67" t="s">
        <v>937</v>
      </c>
      <c r="C236" s="89" t="s">
        <v>1463</v>
      </c>
      <c r="D236" s="89" t="s">
        <v>1461</v>
      </c>
      <c r="E236" s="89" t="s">
        <v>1462</v>
      </c>
      <c r="F236" s="64"/>
      <c r="G236" s="68">
        <v>1.0</v>
      </c>
      <c r="H236" s="67" t="s">
        <v>938</v>
      </c>
      <c r="I236" s="89" t="s">
        <v>1463</v>
      </c>
      <c r="J236" s="89" t="s">
        <v>1461</v>
      </c>
      <c r="K236" s="89" t="s">
        <v>1462</v>
      </c>
      <c r="L236" s="64"/>
      <c r="M236" s="68">
        <v>2.0</v>
      </c>
      <c r="N236" s="67" t="s">
        <v>939</v>
      </c>
      <c r="O236" s="89" t="s">
        <v>1463</v>
      </c>
      <c r="P236" s="89" t="s">
        <v>1461</v>
      </c>
      <c r="Q236" s="89" t="s">
        <v>1462</v>
      </c>
      <c r="R236" s="64"/>
    </row>
    <row r="237">
      <c r="A237" s="68">
        <v>1.0</v>
      </c>
      <c r="B237" s="67" t="s">
        <v>940</v>
      </c>
      <c r="C237" s="89" t="s">
        <v>1463</v>
      </c>
      <c r="D237" s="89" t="s">
        <v>1461</v>
      </c>
      <c r="E237" s="89" t="s">
        <v>1462</v>
      </c>
      <c r="F237" s="64"/>
      <c r="G237" s="68">
        <v>1.0</v>
      </c>
      <c r="H237" s="67" t="s">
        <v>941</v>
      </c>
      <c r="I237" s="89" t="s">
        <v>1463</v>
      </c>
      <c r="J237" s="89" t="s">
        <v>1461</v>
      </c>
      <c r="K237" s="89" t="s">
        <v>1462</v>
      </c>
      <c r="L237" s="64"/>
      <c r="M237" s="68">
        <v>1.0</v>
      </c>
      <c r="N237" s="67" t="s">
        <v>942</v>
      </c>
      <c r="O237" s="89" t="s">
        <v>1463</v>
      </c>
      <c r="P237" s="89" t="s">
        <v>1461</v>
      </c>
      <c r="Q237" s="89" t="s">
        <v>1462</v>
      </c>
      <c r="R237" s="64"/>
    </row>
    <row r="238">
      <c r="A238" s="68">
        <v>1.0</v>
      </c>
      <c r="B238" s="67" t="s">
        <v>943</v>
      </c>
      <c r="C238" s="89" t="s">
        <v>1463</v>
      </c>
      <c r="D238" s="89" t="s">
        <v>1461</v>
      </c>
      <c r="E238" s="89" t="s">
        <v>1462</v>
      </c>
      <c r="F238" s="64"/>
      <c r="G238" s="68">
        <v>1.0</v>
      </c>
      <c r="H238" s="67" t="s">
        <v>944</v>
      </c>
      <c r="I238" s="89" t="s">
        <v>1463</v>
      </c>
      <c r="J238" s="89" t="s">
        <v>1461</v>
      </c>
      <c r="K238" s="89" t="s">
        <v>1462</v>
      </c>
      <c r="L238" s="64"/>
      <c r="M238" s="68">
        <v>2.0</v>
      </c>
      <c r="N238" s="67" t="s">
        <v>945</v>
      </c>
      <c r="O238" s="89" t="s">
        <v>1463</v>
      </c>
      <c r="P238" s="89" t="s">
        <v>1461</v>
      </c>
      <c r="Q238" s="89" t="s">
        <v>1462</v>
      </c>
      <c r="R238" s="64"/>
    </row>
    <row r="239">
      <c r="A239" s="68">
        <v>1.0</v>
      </c>
      <c r="B239" s="67" t="s">
        <v>946</v>
      </c>
      <c r="C239" s="89" t="s">
        <v>1463</v>
      </c>
      <c r="D239" s="89" t="s">
        <v>1461</v>
      </c>
      <c r="E239" s="89" t="s">
        <v>1462</v>
      </c>
      <c r="F239" s="64"/>
      <c r="G239" s="68">
        <v>1.0</v>
      </c>
      <c r="H239" s="67" t="s">
        <v>947</v>
      </c>
      <c r="I239" s="89" t="s">
        <v>1463</v>
      </c>
      <c r="J239" s="89" t="s">
        <v>1461</v>
      </c>
      <c r="K239" s="89" t="s">
        <v>1462</v>
      </c>
      <c r="L239" s="64"/>
      <c r="M239" s="68">
        <v>1.0</v>
      </c>
      <c r="N239" s="67" t="s">
        <v>948</v>
      </c>
      <c r="O239" s="89" t="s">
        <v>1463</v>
      </c>
      <c r="P239" s="89" t="s">
        <v>1461</v>
      </c>
      <c r="Q239" s="89" t="s">
        <v>1462</v>
      </c>
      <c r="R239" s="64"/>
    </row>
    <row r="240">
      <c r="A240" s="68">
        <v>1.0</v>
      </c>
      <c r="B240" s="67" t="s">
        <v>949</v>
      </c>
      <c r="C240" s="89" t="s">
        <v>1463</v>
      </c>
      <c r="D240" s="89" t="s">
        <v>1461</v>
      </c>
      <c r="E240" s="89" t="s">
        <v>1462</v>
      </c>
      <c r="F240" s="64"/>
      <c r="G240" s="68">
        <v>1.0</v>
      </c>
      <c r="H240" s="67" t="s">
        <v>950</v>
      </c>
      <c r="I240" s="89" t="s">
        <v>1463</v>
      </c>
      <c r="J240" s="89" t="s">
        <v>1461</v>
      </c>
      <c r="K240" s="89" t="s">
        <v>1462</v>
      </c>
      <c r="L240" s="64"/>
      <c r="M240" s="68">
        <v>2.0</v>
      </c>
      <c r="N240" s="67" t="s">
        <v>951</v>
      </c>
      <c r="O240" s="89" t="s">
        <v>1463</v>
      </c>
      <c r="P240" s="89" t="s">
        <v>1461</v>
      </c>
      <c r="Q240" s="89" t="s">
        <v>1462</v>
      </c>
      <c r="R240" s="64"/>
    </row>
    <row r="241">
      <c r="A241" s="68">
        <v>1.0</v>
      </c>
      <c r="B241" s="67" t="s">
        <v>952</v>
      </c>
      <c r="C241" s="89" t="s">
        <v>1463</v>
      </c>
      <c r="D241" s="89" t="s">
        <v>1461</v>
      </c>
      <c r="E241" s="89" t="s">
        <v>1462</v>
      </c>
      <c r="F241" s="64"/>
      <c r="G241" s="68">
        <v>1.0</v>
      </c>
      <c r="H241" s="67" t="s">
        <v>953</v>
      </c>
      <c r="I241" s="89" t="s">
        <v>1463</v>
      </c>
      <c r="J241" s="89" t="s">
        <v>1461</v>
      </c>
      <c r="K241" s="89" t="s">
        <v>1462</v>
      </c>
      <c r="L241" s="64"/>
      <c r="M241" s="68">
        <v>1.0</v>
      </c>
      <c r="N241" s="67" t="s">
        <v>954</v>
      </c>
      <c r="O241" s="89" t="s">
        <v>1463</v>
      </c>
      <c r="P241" s="89" t="s">
        <v>1461</v>
      </c>
      <c r="Q241" s="89" t="s">
        <v>1462</v>
      </c>
      <c r="R241" s="64"/>
    </row>
    <row r="242">
      <c r="A242" s="68">
        <v>1.0</v>
      </c>
      <c r="B242" s="67" t="s">
        <v>955</v>
      </c>
      <c r="C242" s="89" t="s">
        <v>1463</v>
      </c>
      <c r="D242" s="89" t="s">
        <v>1461</v>
      </c>
      <c r="E242" s="89" t="s">
        <v>1462</v>
      </c>
      <c r="F242" s="64"/>
      <c r="G242" s="68">
        <v>1.0</v>
      </c>
      <c r="H242" s="67" t="s">
        <v>956</v>
      </c>
      <c r="I242" s="89" t="s">
        <v>1463</v>
      </c>
      <c r="J242" s="89" t="s">
        <v>1461</v>
      </c>
      <c r="K242" s="89" t="s">
        <v>1462</v>
      </c>
      <c r="L242" s="64"/>
      <c r="M242" s="68">
        <v>2.0</v>
      </c>
      <c r="N242" s="67" t="s">
        <v>957</v>
      </c>
      <c r="O242" s="89" t="s">
        <v>1463</v>
      </c>
      <c r="P242" s="89" t="s">
        <v>1461</v>
      </c>
      <c r="Q242" s="89" t="s">
        <v>1462</v>
      </c>
      <c r="R242" s="64"/>
    </row>
    <row r="243">
      <c r="A243" s="68">
        <v>1.0</v>
      </c>
      <c r="B243" s="67" t="s">
        <v>958</v>
      </c>
      <c r="C243" s="89" t="s">
        <v>1463</v>
      </c>
      <c r="D243" s="89" t="s">
        <v>1461</v>
      </c>
      <c r="E243" s="89" t="s">
        <v>1462</v>
      </c>
      <c r="F243" s="64"/>
      <c r="G243" s="68">
        <v>1.0</v>
      </c>
      <c r="H243" s="67" t="s">
        <v>959</v>
      </c>
      <c r="I243" s="89" t="s">
        <v>1463</v>
      </c>
      <c r="J243" s="89" t="s">
        <v>1461</v>
      </c>
      <c r="K243" s="89" t="s">
        <v>1462</v>
      </c>
      <c r="L243" s="64"/>
      <c r="M243" s="68">
        <v>1.0</v>
      </c>
      <c r="N243" s="67" t="s">
        <v>960</v>
      </c>
      <c r="O243" s="89" t="s">
        <v>1463</v>
      </c>
      <c r="P243" s="89" t="s">
        <v>1461</v>
      </c>
      <c r="Q243" s="89" t="s">
        <v>1462</v>
      </c>
      <c r="R243" s="64"/>
    </row>
    <row r="244">
      <c r="A244" s="68">
        <v>1.0</v>
      </c>
      <c r="B244" s="67" t="s">
        <v>961</v>
      </c>
      <c r="C244" s="89" t="s">
        <v>1463</v>
      </c>
      <c r="D244" s="89" t="s">
        <v>1461</v>
      </c>
      <c r="E244" s="89" t="s">
        <v>1462</v>
      </c>
      <c r="F244" s="64"/>
      <c r="G244" s="68">
        <v>1.0</v>
      </c>
      <c r="H244" s="67" t="s">
        <v>962</v>
      </c>
      <c r="I244" s="89" t="s">
        <v>1463</v>
      </c>
      <c r="J244" s="89" t="s">
        <v>1461</v>
      </c>
      <c r="K244" s="89" t="s">
        <v>1462</v>
      </c>
      <c r="L244" s="64"/>
      <c r="M244" s="64"/>
      <c r="N244" s="64"/>
      <c r="O244" s="64"/>
      <c r="P244" s="64"/>
      <c r="Q244" s="64"/>
      <c r="R244" s="64"/>
    </row>
    <row r="245">
      <c r="A245" s="68">
        <v>1.0</v>
      </c>
      <c r="B245" s="67" t="s">
        <v>963</v>
      </c>
      <c r="C245" s="89" t="s">
        <v>1463</v>
      </c>
      <c r="D245" s="89" t="s">
        <v>1461</v>
      </c>
      <c r="E245" s="89" t="s">
        <v>1462</v>
      </c>
      <c r="F245" s="64"/>
      <c r="G245" s="68">
        <v>1.0</v>
      </c>
      <c r="H245" s="67" t="s">
        <v>964</v>
      </c>
      <c r="I245" s="89" t="s">
        <v>1463</v>
      </c>
      <c r="J245" s="89" t="s">
        <v>1461</v>
      </c>
      <c r="K245" s="89" t="s">
        <v>1462</v>
      </c>
      <c r="L245" s="64"/>
      <c r="M245" s="64" t="s">
        <v>965</v>
      </c>
      <c r="O245" s="64"/>
      <c r="P245" s="64"/>
      <c r="Q245" s="64"/>
      <c r="R245" s="64"/>
    </row>
    <row r="246">
      <c r="A246" s="68">
        <v>1.0</v>
      </c>
      <c r="B246" s="67" t="s">
        <v>966</v>
      </c>
      <c r="C246" s="89" t="s">
        <v>1463</v>
      </c>
      <c r="D246" s="89" t="s">
        <v>1461</v>
      </c>
      <c r="E246" s="89" t="s">
        <v>1462</v>
      </c>
      <c r="F246" s="64"/>
      <c r="G246" s="68">
        <v>1.0</v>
      </c>
      <c r="H246" s="67" t="s">
        <v>967</v>
      </c>
      <c r="I246" s="89" t="s">
        <v>1463</v>
      </c>
      <c r="J246" s="89" t="s">
        <v>1461</v>
      </c>
      <c r="K246" s="89" t="s">
        <v>1462</v>
      </c>
      <c r="L246" s="64"/>
      <c r="M246" s="67" t="s">
        <v>45</v>
      </c>
      <c r="N246" s="67" t="s">
        <v>68</v>
      </c>
      <c r="O246" s="65" t="s">
        <v>1457</v>
      </c>
      <c r="P246" s="65" t="s">
        <v>1458</v>
      </c>
      <c r="Q246" s="67" t="s">
        <v>1459</v>
      </c>
      <c r="R246" s="64"/>
    </row>
    <row r="247">
      <c r="A247" s="68">
        <v>1.0</v>
      </c>
      <c r="B247" s="67" t="s">
        <v>968</v>
      </c>
      <c r="C247" s="89" t="s">
        <v>1463</v>
      </c>
      <c r="D247" s="89" t="s">
        <v>1461</v>
      </c>
      <c r="E247" s="89" t="s">
        <v>1462</v>
      </c>
      <c r="F247" s="64"/>
      <c r="G247" s="68">
        <v>1.0</v>
      </c>
      <c r="H247" s="67" t="s">
        <v>969</v>
      </c>
      <c r="I247" s="89" t="s">
        <v>1463</v>
      </c>
      <c r="J247" s="89" t="s">
        <v>1461</v>
      </c>
      <c r="K247" s="89" t="s">
        <v>1462</v>
      </c>
      <c r="L247" s="64"/>
      <c r="M247" s="68">
        <v>1.0</v>
      </c>
      <c r="N247" s="67" t="s">
        <v>970</v>
      </c>
      <c r="O247" s="89" t="s">
        <v>1463</v>
      </c>
      <c r="P247" s="89" t="s">
        <v>1461</v>
      </c>
      <c r="Q247" s="89" t="s">
        <v>1462</v>
      </c>
      <c r="R247" s="64"/>
    </row>
    <row r="248">
      <c r="A248" s="68">
        <v>1.0</v>
      </c>
      <c r="B248" s="67" t="s">
        <v>971</v>
      </c>
      <c r="C248" s="89" t="s">
        <v>1463</v>
      </c>
      <c r="D248" s="89" t="s">
        <v>1461</v>
      </c>
      <c r="E248" s="89" t="s">
        <v>1462</v>
      </c>
      <c r="F248" s="64"/>
      <c r="G248" s="68">
        <v>1.0</v>
      </c>
      <c r="H248" s="67" t="s">
        <v>972</v>
      </c>
      <c r="I248" s="89" t="s">
        <v>1463</v>
      </c>
      <c r="J248" s="89" t="s">
        <v>1461</v>
      </c>
      <c r="K248" s="89" t="s">
        <v>1462</v>
      </c>
      <c r="L248" s="64"/>
      <c r="M248" s="68">
        <v>1.0</v>
      </c>
      <c r="N248" s="67" t="s">
        <v>973</v>
      </c>
      <c r="O248" s="89" t="s">
        <v>1463</v>
      </c>
      <c r="P248" s="89" t="s">
        <v>1461</v>
      </c>
      <c r="Q248" s="89" t="s">
        <v>1462</v>
      </c>
      <c r="R248" s="64"/>
    </row>
    <row r="249">
      <c r="A249" s="68">
        <v>1.0</v>
      </c>
      <c r="B249" s="67" t="s">
        <v>974</v>
      </c>
      <c r="C249" s="89" t="s">
        <v>1463</v>
      </c>
      <c r="D249" s="89" t="s">
        <v>1461</v>
      </c>
      <c r="E249" s="89" t="s">
        <v>1462</v>
      </c>
      <c r="F249" s="64"/>
      <c r="G249" s="68">
        <v>1.0</v>
      </c>
      <c r="H249" s="67" t="s">
        <v>975</v>
      </c>
      <c r="I249" s="89" t="s">
        <v>1463</v>
      </c>
      <c r="J249" s="89" t="s">
        <v>1461</v>
      </c>
      <c r="K249" s="89" t="s">
        <v>1462</v>
      </c>
      <c r="L249" s="64"/>
      <c r="M249" s="68">
        <v>1.0</v>
      </c>
      <c r="N249" s="67" t="s">
        <v>976</v>
      </c>
      <c r="O249" s="89" t="s">
        <v>1463</v>
      </c>
      <c r="P249" s="89" t="s">
        <v>1461</v>
      </c>
      <c r="Q249" s="89" t="s">
        <v>1462</v>
      </c>
      <c r="R249" s="64"/>
    </row>
    <row r="250">
      <c r="A250" s="68">
        <v>1.0</v>
      </c>
      <c r="B250" s="67" t="s">
        <v>977</v>
      </c>
      <c r="C250" s="89" t="s">
        <v>1463</v>
      </c>
      <c r="D250" s="89" t="s">
        <v>1461</v>
      </c>
      <c r="E250" s="89" t="s">
        <v>1462</v>
      </c>
      <c r="F250" s="64"/>
      <c r="G250" s="68">
        <v>1.0</v>
      </c>
      <c r="H250" s="67" t="s">
        <v>978</v>
      </c>
      <c r="I250" s="89" t="s">
        <v>1463</v>
      </c>
      <c r="J250" s="89" t="s">
        <v>1461</v>
      </c>
      <c r="K250" s="89" t="s">
        <v>1462</v>
      </c>
      <c r="L250" s="64"/>
      <c r="M250" s="68">
        <v>1.0</v>
      </c>
      <c r="N250" s="67" t="s">
        <v>979</v>
      </c>
      <c r="O250" s="89" t="s">
        <v>1463</v>
      </c>
      <c r="P250" s="89" t="s">
        <v>1461</v>
      </c>
      <c r="Q250" s="89" t="s">
        <v>1462</v>
      </c>
      <c r="R250" s="64"/>
    </row>
    <row r="251">
      <c r="A251" s="68">
        <v>1.0</v>
      </c>
      <c r="B251" s="67" t="s">
        <v>980</v>
      </c>
      <c r="C251" s="89" t="s">
        <v>1463</v>
      </c>
      <c r="D251" s="89" t="s">
        <v>1461</v>
      </c>
      <c r="E251" s="89" t="s">
        <v>1462</v>
      </c>
      <c r="F251" s="64"/>
      <c r="G251" s="68">
        <v>1.0</v>
      </c>
      <c r="H251" s="67" t="s">
        <v>981</v>
      </c>
      <c r="I251" s="89" t="s">
        <v>1463</v>
      </c>
      <c r="J251" s="89" t="s">
        <v>1461</v>
      </c>
      <c r="K251" s="89" t="s">
        <v>1462</v>
      </c>
      <c r="L251" s="64"/>
      <c r="M251" s="68">
        <v>1.0</v>
      </c>
      <c r="N251" s="67" t="s">
        <v>982</v>
      </c>
      <c r="O251" s="89" t="s">
        <v>1463</v>
      </c>
      <c r="P251" s="89" t="s">
        <v>1461</v>
      </c>
      <c r="Q251" s="89" t="s">
        <v>1462</v>
      </c>
      <c r="R251" s="64"/>
    </row>
    <row r="252">
      <c r="A252" s="68">
        <v>1.0</v>
      </c>
      <c r="B252" s="67" t="s">
        <v>983</v>
      </c>
      <c r="C252" s="89" t="s">
        <v>1463</v>
      </c>
      <c r="D252" s="89" t="s">
        <v>1461</v>
      </c>
      <c r="E252" s="89" t="s">
        <v>1462</v>
      </c>
      <c r="F252" s="64"/>
      <c r="G252" s="68">
        <v>1.0</v>
      </c>
      <c r="H252" s="67" t="s">
        <v>984</v>
      </c>
      <c r="I252" s="89" t="s">
        <v>1463</v>
      </c>
      <c r="J252" s="89" t="s">
        <v>1461</v>
      </c>
      <c r="K252" s="89" t="s">
        <v>1462</v>
      </c>
      <c r="L252" s="64"/>
      <c r="M252" s="68">
        <v>1.0</v>
      </c>
      <c r="N252" s="67" t="s">
        <v>985</v>
      </c>
      <c r="O252" s="89" t="s">
        <v>1463</v>
      </c>
      <c r="P252" s="89" t="s">
        <v>1461</v>
      </c>
      <c r="Q252" s="89" t="s">
        <v>1462</v>
      </c>
      <c r="R252" s="64"/>
    </row>
    <row r="253">
      <c r="A253" s="68">
        <v>1.0</v>
      </c>
      <c r="B253" s="67" t="s">
        <v>986</v>
      </c>
      <c r="C253" s="89" t="s">
        <v>1463</v>
      </c>
      <c r="D253" s="89" t="s">
        <v>1461</v>
      </c>
      <c r="E253" s="89" t="s">
        <v>1462</v>
      </c>
      <c r="F253" s="64"/>
      <c r="G253" s="68">
        <v>1.0</v>
      </c>
      <c r="H253" s="67" t="s">
        <v>987</v>
      </c>
      <c r="I253" s="89" t="s">
        <v>1463</v>
      </c>
      <c r="J253" s="89" t="s">
        <v>1461</v>
      </c>
      <c r="K253" s="89" t="s">
        <v>1462</v>
      </c>
      <c r="L253" s="64"/>
      <c r="M253" s="68">
        <v>1.0</v>
      </c>
      <c r="N253" s="67" t="s">
        <v>988</v>
      </c>
      <c r="O253" s="89" t="s">
        <v>1463</v>
      </c>
      <c r="P253" s="89" t="s">
        <v>1461</v>
      </c>
      <c r="Q253" s="89" t="s">
        <v>1462</v>
      </c>
      <c r="R253" s="64"/>
    </row>
    <row r="254">
      <c r="A254" s="68">
        <v>1.0</v>
      </c>
      <c r="B254" s="67" t="s">
        <v>989</v>
      </c>
      <c r="C254" s="89" t="s">
        <v>1463</v>
      </c>
      <c r="D254" s="89" t="s">
        <v>1461</v>
      </c>
      <c r="E254" s="89" t="s">
        <v>1462</v>
      </c>
      <c r="F254" s="64"/>
      <c r="G254" s="68">
        <v>2.0</v>
      </c>
      <c r="H254" s="67" t="s">
        <v>990</v>
      </c>
      <c r="I254" s="89" t="s">
        <v>1463</v>
      </c>
      <c r="J254" s="89" t="s">
        <v>1461</v>
      </c>
      <c r="K254" s="89" t="s">
        <v>1462</v>
      </c>
      <c r="L254" s="64"/>
      <c r="M254" s="68">
        <v>1.0</v>
      </c>
      <c r="N254" s="67" t="s">
        <v>991</v>
      </c>
      <c r="O254" s="89" t="s">
        <v>1463</v>
      </c>
      <c r="P254" s="89" t="s">
        <v>1461</v>
      </c>
      <c r="Q254" s="89" t="s">
        <v>1462</v>
      </c>
      <c r="R254" s="64"/>
    </row>
    <row r="255">
      <c r="A255" s="68">
        <v>1.0</v>
      </c>
      <c r="B255" s="67" t="s">
        <v>992</v>
      </c>
      <c r="C255" s="89" t="s">
        <v>1463</v>
      </c>
      <c r="D255" s="89" t="s">
        <v>1461</v>
      </c>
      <c r="E255" s="89" t="s">
        <v>1462</v>
      </c>
      <c r="F255" s="64"/>
      <c r="G255" s="68">
        <v>2.0</v>
      </c>
      <c r="H255" s="67" t="s">
        <v>993</v>
      </c>
      <c r="I255" s="89" t="s">
        <v>1463</v>
      </c>
      <c r="J255" s="89" t="s">
        <v>1461</v>
      </c>
      <c r="K255" s="89" t="s">
        <v>1462</v>
      </c>
      <c r="L255" s="64"/>
      <c r="M255" s="68">
        <v>3.0</v>
      </c>
      <c r="N255" s="67" t="s">
        <v>994</v>
      </c>
      <c r="O255" s="89" t="s">
        <v>1463</v>
      </c>
      <c r="P255" s="89" t="s">
        <v>1461</v>
      </c>
      <c r="Q255" s="89" t="s">
        <v>1462</v>
      </c>
      <c r="R255" s="64"/>
    </row>
    <row r="256">
      <c r="A256" s="68">
        <v>1.0</v>
      </c>
      <c r="B256" s="67" t="s">
        <v>995</v>
      </c>
      <c r="C256" s="89" t="s">
        <v>1463</v>
      </c>
      <c r="D256" s="89" t="s">
        <v>1461</v>
      </c>
      <c r="E256" s="89" t="s">
        <v>1462</v>
      </c>
      <c r="F256" s="64"/>
      <c r="G256" s="68">
        <v>1.0</v>
      </c>
      <c r="H256" s="67" t="s">
        <v>996</v>
      </c>
      <c r="I256" s="89" t="s">
        <v>1463</v>
      </c>
      <c r="J256" s="89" t="s">
        <v>1461</v>
      </c>
      <c r="K256" s="89" t="s">
        <v>1462</v>
      </c>
      <c r="L256" s="64"/>
      <c r="M256" s="68">
        <v>1.0</v>
      </c>
      <c r="N256" s="67" t="s">
        <v>997</v>
      </c>
      <c r="O256" s="89" t="s">
        <v>1463</v>
      </c>
      <c r="P256" s="89" t="s">
        <v>1461</v>
      </c>
      <c r="Q256" s="89" t="s">
        <v>1462</v>
      </c>
      <c r="R256" s="64"/>
    </row>
    <row r="257">
      <c r="A257" s="68">
        <v>1.0</v>
      </c>
      <c r="B257" s="67" t="s">
        <v>998</v>
      </c>
      <c r="C257" s="89" t="s">
        <v>1463</v>
      </c>
      <c r="D257" s="89" t="s">
        <v>1461</v>
      </c>
      <c r="E257" s="89" t="s">
        <v>1462</v>
      </c>
      <c r="F257" s="64"/>
      <c r="G257" s="68">
        <v>1.0</v>
      </c>
      <c r="H257" s="67" t="s">
        <v>999</v>
      </c>
      <c r="I257" s="89" t="s">
        <v>1463</v>
      </c>
      <c r="J257" s="89" t="s">
        <v>1461</v>
      </c>
      <c r="K257" s="89" t="s">
        <v>1462</v>
      </c>
      <c r="L257" s="64"/>
      <c r="M257" s="68">
        <v>1.0</v>
      </c>
      <c r="N257" s="67" t="s">
        <v>1000</v>
      </c>
      <c r="O257" s="89" t="s">
        <v>1463</v>
      </c>
      <c r="P257" s="89" t="s">
        <v>1461</v>
      </c>
      <c r="Q257" s="89" t="s">
        <v>1462</v>
      </c>
      <c r="R257" s="64"/>
    </row>
    <row r="258">
      <c r="A258" s="68">
        <v>1.0</v>
      </c>
      <c r="B258" s="67" t="s">
        <v>1001</v>
      </c>
      <c r="C258" s="89" t="s">
        <v>1463</v>
      </c>
      <c r="D258" s="89" t="s">
        <v>1461</v>
      </c>
      <c r="E258" s="89" t="s">
        <v>1462</v>
      </c>
      <c r="F258" s="64"/>
      <c r="G258" s="68">
        <v>1.0</v>
      </c>
      <c r="H258" s="67" t="s">
        <v>1002</v>
      </c>
      <c r="I258" s="89" t="s">
        <v>1463</v>
      </c>
      <c r="J258" s="89" t="s">
        <v>1461</v>
      </c>
      <c r="K258" s="89" t="s">
        <v>1462</v>
      </c>
      <c r="L258" s="64"/>
      <c r="M258" s="68">
        <v>1.0</v>
      </c>
      <c r="N258" s="67" t="s">
        <v>1003</v>
      </c>
      <c r="O258" s="89" t="s">
        <v>1463</v>
      </c>
      <c r="P258" s="89" t="s">
        <v>1461</v>
      </c>
      <c r="Q258" s="89" t="s">
        <v>1462</v>
      </c>
      <c r="R258" s="64"/>
    </row>
    <row r="259">
      <c r="A259" s="68">
        <v>1.0</v>
      </c>
      <c r="B259" s="67" t="s">
        <v>1004</v>
      </c>
      <c r="C259" s="89" t="s">
        <v>1463</v>
      </c>
      <c r="D259" s="89" t="s">
        <v>1461</v>
      </c>
      <c r="E259" s="89" t="s">
        <v>1462</v>
      </c>
      <c r="F259" s="64"/>
      <c r="G259" s="68">
        <v>1.0</v>
      </c>
      <c r="H259" s="67" t="s">
        <v>1005</v>
      </c>
      <c r="I259" s="89" t="s">
        <v>1463</v>
      </c>
      <c r="J259" s="89" t="s">
        <v>1461</v>
      </c>
      <c r="K259" s="89" t="s">
        <v>1462</v>
      </c>
      <c r="L259" s="64"/>
      <c r="M259" s="68">
        <v>1.0</v>
      </c>
      <c r="N259" s="67" t="s">
        <v>1006</v>
      </c>
      <c r="O259" s="89" t="s">
        <v>1463</v>
      </c>
      <c r="P259" s="89" t="s">
        <v>1461</v>
      </c>
      <c r="Q259" s="89" t="s">
        <v>1462</v>
      </c>
      <c r="R259" s="64"/>
    </row>
    <row r="260">
      <c r="A260" s="64"/>
      <c r="B260" s="64"/>
      <c r="C260" s="64"/>
      <c r="D260" s="64"/>
      <c r="E260" s="64"/>
      <c r="F260" s="64"/>
      <c r="G260" s="68">
        <v>1.0</v>
      </c>
      <c r="H260" s="67" t="s">
        <v>1007</v>
      </c>
      <c r="I260" s="89" t="s">
        <v>1463</v>
      </c>
      <c r="J260" s="89" t="s">
        <v>1461</v>
      </c>
      <c r="K260" s="89" t="s">
        <v>1462</v>
      </c>
      <c r="L260" s="64"/>
      <c r="M260" s="68">
        <v>1.0</v>
      </c>
      <c r="N260" s="67" t="s">
        <v>1008</v>
      </c>
      <c r="O260" s="89" t="s">
        <v>1463</v>
      </c>
      <c r="P260" s="89" t="s">
        <v>1461</v>
      </c>
      <c r="Q260" s="89" t="s">
        <v>1462</v>
      </c>
      <c r="R260" s="64"/>
    </row>
    <row r="261">
      <c r="A261" s="64" t="s">
        <v>1009</v>
      </c>
      <c r="C261" s="64"/>
      <c r="D261" s="64"/>
      <c r="E261" s="64"/>
      <c r="F261" s="64"/>
      <c r="G261" s="68">
        <v>1.0</v>
      </c>
      <c r="H261" s="67" t="s">
        <v>1010</v>
      </c>
      <c r="I261" s="89" t="s">
        <v>1463</v>
      </c>
      <c r="J261" s="89" t="s">
        <v>1461</v>
      </c>
      <c r="K261" s="89" t="s">
        <v>1462</v>
      </c>
      <c r="L261" s="64"/>
      <c r="M261" s="68">
        <v>1.0</v>
      </c>
      <c r="N261" s="67" t="s">
        <v>1011</v>
      </c>
      <c r="O261" s="89" t="s">
        <v>1463</v>
      </c>
      <c r="P261" s="89" t="s">
        <v>1461</v>
      </c>
      <c r="Q261" s="89" t="s">
        <v>1462</v>
      </c>
      <c r="R261" s="64"/>
    </row>
    <row r="262">
      <c r="A262" s="67" t="s">
        <v>45</v>
      </c>
      <c r="B262" s="67" t="s">
        <v>68</v>
      </c>
      <c r="C262" s="65" t="s">
        <v>1457</v>
      </c>
      <c r="D262" s="65" t="s">
        <v>1458</v>
      </c>
      <c r="E262" s="67" t="s">
        <v>1459</v>
      </c>
      <c r="F262" s="64"/>
      <c r="G262" s="68">
        <v>1.0</v>
      </c>
      <c r="H262" s="67" t="s">
        <v>1012</v>
      </c>
      <c r="I262" s="89" t="s">
        <v>1463</v>
      </c>
      <c r="J262" s="89" t="s">
        <v>1461</v>
      </c>
      <c r="K262" s="89" t="s">
        <v>1462</v>
      </c>
      <c r="L262" s="64"/>
      <c r="M262" s="68">
        <v>5.0</v>
      </c>
      <c r="N262" s="67" t="s">
        <v>1013</v>
      </c>
      <c r="O262" s="89" t="s">
        <v>1463</v>
      </c>
      <c r="P262" s="89" t="s">
        <v>1461</v>
      </c>
      <c r="Q262" s="89" t="s">
        <v>1462</v>
      </c>
      <c r="R262" s="64"/>
    </row>
    <row r="263">
      <c r="A263" s="68">
        <v>1.0</v>
      </c>
      <c r="B263" s="67" t="s">
        <v>1014</v>
      </c>
      <c r="C263" s="89" t="s">
        <v>1463</v>
      </c>
      <c r="D263" s="89" t="s">
        <v>1461</v>
      </c>
      <c r="E263" s="89" t="s">
        <v>1462</v>
      </c>
      <c r="F263" s="64"/>
      <c r="G263" s="68">
        <v>1.0</v>
      </c>
      <c r="H263" s="67" t="s">
        <v>1015</v>
      </c>
      <c r="I263" s="89" t="s">
        <v>1463</v>
      </c>
      <c r="J263" s="89" t="s">
        <v>1461</v>
      </c>
      <c r="K263" s="89" t="s">
        <v>1462</v>
      </c>
      <c r="L263" s="64"/>
      <c r="M263" s="68">
        <v>1.0</v>
      </c>
      <c r="N263" s="67" t="s">
        <v>1016</v>
      </c>
      <c r="O263" s="89" t="s">
        <v>1463</v>
      </c>
      <c r="P263" s="89" t="s">
        <v>1461</v>
      </c>
      <c r="Q263" s="89" t="s">
        <v>1462</v>
      </c>
      <c r="R263" s="64"/>
    </row>
    <row r="264">
      <c r="A264" s="68">
        <v>1.0</v>
      </c>
      <c r="B264" s="67" t="s">
        <v>1017</v>
      </c>
      <c r="C264" s="89" t="s">
        <v>1463</v>
      </c>
      <c r="D264" s="89" t="s">
        <v>1461</v>
      </c>
      <c r="E264" s="89" t="s">
        <v>1462</v>
      </c>
      <c r="F264" s="64"/>
      <c r="G264" s="68">
        <v>6.0</v>
      </c>
      <c r="H264" s="67" t="s">
        <v>1018</v>
      </c>
      <c r="I264" s="89" t="s">
        <v>1463</v>
      </c>
      <c r="J264" s="89" t="s">
        <v>1461</v>
      </c>
      <c r="K264" s="89" t="s">
        <v>1462</v>
      </c>
      <c r="L264" s="64"/>
      <c r="M264" s="68">
        <v>1.0</v>
      </c>
      <c r="N264" s="67" t="s">
        <v>1019</v>
      </c>
      <c r="O264" s="89" t="s">
        <v>1463</v>
      </c>
      <c r="P264" s="89" t="s">
        <v>1461</v>
      </c>
      <c r="Q264" s="89" t="s">
        <v>1462</v>
      </c>
      <c r="R264" s="64"/>
    </row>
    <row r="265">
      <c r="A265" s="68">
        <v>1.0</v>
      </c>
      <c r="B265" s="67" t="s">
        <v>1020</v>
      </c>
      <c r="C265" s="89" t="s">
        <v>1463</v>
      </c>
      <c r="D265" s="89" t="s">
        <v>1461</v>
      </c>
      <c r="E265" s="89" t="s">
        <v>1462</v>
      </c>
      <c r="F265" s="64"/>
      <c r="G265" s="68">
        <v>1.0</v>
      </c>
      <c r="H265" s="67" t="s">
        <v>1021</v>
      </c>
      <c r="I265" s="89" t="s">
        <v>1463</v>
      </c>
      <c r="J265" s="89" t="s">
        <v>1461</v>
      </c>
      <c r="K265" s="89" t="s">
        <v>1462</v>
      </c>
      <c r="L265" s="64"/>
      <c r="M265" s="68">
        <v>1.0</v>
      </c>
      <c r="N265" s="67" t="s">
        <v>1022</v>
      </c>
      <c r="O265" s="89" t="s">
        <v>1463</v>
      </c>
      <c r="P265" s="89" t="s">
        <v>1461</v>
      </c>
      <c r="Q265" s="89" t="s">
        <v>1462</v>
      </c>
      <c r="R265" s="64"/>
    </row>
    <row r="266">
      <c r="A266" s="68">
        <v>1.0</v>
      </c>
      <c r="B266" s="67" t="s">
        <v>1023</v>
      </c>
      <c r="C266" s="89" t="s">
        <v>1463</v>
      </c>
      <c r="D266" s="89" t="s">
        <v>1461</v>
      </c>
      <c r="E266" s="89" t="s">
        <v>1462</v>
      </c>
      <c r="F266" s="64"/>
      <c r="G266" s="68">
        <v>1.0</v>
      </c>
      <c r="H266" s="67" t="s">
        <v>1024</v>
      </c>
      <c r="I266" s="89" t="s">
        <v>1463</v>
      </c>
      <c r="J266" s="89" t="s">
        <v>1461</v>
      </c>
      <c r="K266" s="89" t="s">
        <v>1462</v>
      </c>
      <c r="L266" s="64"/>
      <c r="M266" s="68">
        <v>1.0</v>
      </c>
      <c r="N266" s="67" t="s">
        <v>1025</v>
      </c>
      <c r="O266" s="89" t="s">
        <v>1463</v>
      </c>
      <c r="P266" s="89" t="s">
        <v>1461</v>
      </c>
      <c r="Q266" s="89" t="s">
        <v>1462</v>
      </c>
      <c r="R266" s="64"/>
    </row>
    <row r="267">
      <c r="A267" s="68">
        <v>1.0</v>
      </c>
      <c r="B267" s="67" t="s">
        <v>1026</v>
      </c>
      <c r="C267" s="89" t="s">
        <v>1463</v>
      </c>
      <c r="D267" s="89" t="s">
        <v>1461</v>
      </c>
      <c r="E267" s="89" t="s">
        <v>1462</v>
      </c>
      <c r="F267" s="64"/>
      <c r="G267" s="68">
        <v>1.0</v>
      </c>
      <c r="H267" s="67" t="s">
        <v>1027</v>
      </c>
      <c r="I267" s="89" t="s">
        <v>1463</v>
      </c>
      <c r="J267" s="89" t="s">
        <v>1461</v>
      </c>
      <c r="K267" s="89" t="s">
        <v>1462</v>
      </c>
      <c r="L267" s="64"/>
      <c r="M267" s="68">
        <v>1.0</v>
      </c>
      <c r="N267" s="67" t="s">
        <v>1028</v>
      </c>
      <c r="O267" s="89" t="s">
        <v>1463</v>
      </c>
      <c r="P267" s="89" t="s">
        <v>1461</v>
      </c>
      <c r="Q267" s="89" t="s">
        <v>1462</v>
      </c>
      <c r="R267" s="64"/>
    </row>
    <row r="268">
      <c r="A268" s="68">
        <v>1.0</v>
      </c>
      <c r="B268" s="67" t="s">
        <v>1029</v>
      </c>
      <c r="C268" s="89" t="s">
        <v>1463</v>
      </c>
      <c r="D268" s="89" t="s">
        <v>1461</v>
      </c>
      <c r="E268" s="89" t="s">
        <v>1462</v>
      </c>
      <c r="F268" s="64"/>
      <c r="G268" s="68">
        <v>1.0</v>
      </c>
      <c r="H268" s="67" t="s">
        <v>1030</v>
      </c>
      <c r="I268" s="89" t="s">
        <v>1463</v>
      </c>
      <c r="J268" s="89" t="s">
        <v>1461</v>
      </c>
      <c r="K268" s="89" t="s">
        <v>1462</v>
      </c>
      <c r="L268" s="64"/>
      <c r="M268" s="68">
        <v>2.0</v>
      </c>
      <c r="N268" s="67" t="s">
        <v>1031</v>
      </c>
      <c r="O268" s="89" t="s">
        <v>1463</v>
      </c>
      <c r="P268" s="89" t="s">
        <v>1461</v>
      </c>
      <c r="Q268" s="89" t="s">
        <v>1462</v>
      </c>
      <c r="R268" s="64"/>
    </row>
    <row r="269">
      <c r="A269" s="68">
        <v>1.0</v>
      </c>
      <c r="B269" s="67" t="s">
        <v>1032</v>
      </c>
      <c r="C269" s="89" t="s">
        <v>1463</v>
      </c>
      <c r="D269" s="89" t="s">
        <v>1461</v>
      </c>
      <c r="E269" s="89" t="s">
        <v>1462</v>
      </c>
      <c r="F269" s="64"/>
      <c r="G269" s="68">
        <v>5.0</v>
      </c>
      <c r="H269" s="67" t="s">
        <v>1033</v>
      </c>
      <c r="I269" s="89" t="s">
        <v>1463</v>
      </c>
      <c r="J269" s="89" t="s">
        <v>1461</v>
      </c>
      <c r="K269" s="89" t="s">
        <v>1462</v>
      </c>
      <c r="L269" s="64"/>
      <c r="M269" s="68">
        <v>1.0</v>
      </c>
      <c r="N269" s="67" t="s">
        <v>1034</v>
      </c>
      <c r="O269" s="89" t="s">
        <v>1463</v>
      </c>
      <c r="P269" s="89" t="s">
        <v>1461</v>
      </c>
      <c r="Q269" s="89" t="s">
        <v>1462</v>
      </c>
      <c r="R269" s="64"/>
    </row>
    <row r="270">
      <c r="A270" s="68">
        <v>1.0</v>
      </c>
      <c r="B270" s="67" t="s">
        <v>1035</v>
      </c>
      <c r="C270" s="89" t="s">
        <v>1463</v>
      </c>
      <c r="D270" s="89" t="s">
        <v>1461</v>
      </c>
      <c r="E270" s="89" t="s">
        <v>1462</v>
      </c>
      <c r="F270" s="64"/>
      <c r="G270" s="68">
        <v>1.0</v>
      </c>
      <c r="H270" s="67" t="s">
        <v>1036</v>
      </c>
      <c r="I270" s="89" t="s">
        <v>1463</v>
      </c>
      <c r="J270" s="89" t="s">
        <v>1461</v>
      </c>
      <c r="K270" s="89" t="s">
        <v>1462</v>
      </c>
      <c r="L270" s="64"/>
      <c r="M270" s="68">
        <v>1.0</v>
      </c>
      <c r="N270" s="67" t="s">
        <v>1037</v>
      </c>
      <c r="O270" s="89" t="s">
        <v>1463</v>
      </c>
      <c r="P270" s="89" t="s">
        <v>1461</v>
      </c>
      <c r="Q270" s="89" t="s">
        <v>1462</v>
      </c>
      <c r="R270" s="64"/>
    </row>
    <row r="271">
      <c r="A271" s="68">
        <v>1.0</v>
      </c>
      <c r="B271" s="67" t="s">
        <v>1038</v>
      </c>
      <c r="C271" s="89" t="s">
        <v>1463</v>
      </c>
      <c r="D271" s="89" t="s">
        <v>1461</v>
      </c>
      <c r="E271" s="89" t="s">
        <v>1462</v>
      </c>
      <c r="F271" s="64"/>
      <c r="G271" s="68">
        <v>1.0</v>
      </c>
      <c r="H271" s="67" t="s">
        <v>1039</v>
      </c>
      <c r="I271" s="89" t="s">
        <v>1463</v>
      </c>
      <c r="J271" s="89" t="s">
        <v>1461</v>
      </c>
      <c r="K271" s="89" t="s">
        <v>1462</v>
      </c>
      <c r="L271" s="64"/>
      <c r="M271" s="68">
        <v>1.0</v>
      </c>
      <c r="N271" s="67" t="s">
        <v>1040</v>
      </c>
      <c r="O271" s="89" t="s">
        <v>1463</v>
      </c>
      <c r="P271" s="89" t="s">
        <v>1461</v>
      </c>
      <c r="Q271" s="89" t="s">
        <v>1462</v>
      </c>
      <c r="R271" s="64"/>
    </row>
    <row r="272">
      <c r="A272" s="68">
        <v>1.0</v>
      </c>
      <c r="B272" s="67" t="s">
        <v>1041</v>
      </c>
      <c r="C272" s="89" t="s">
        <v>1463</v>
      </c>
      <c r="D272" s="89" t="s">
        <v>1461</v>
      </c>
      <c r="E272" s="89" t="s">
        <v>1462</v>
      </c>
      <c r="F272" s="64"/>
      <c r="G272" s="64"/>
      <c r="H272" s="64"/>
      <c r="I272" s="64"/>
      <c r="J272" s="64"/>
      <c r="K272" s="64"/>
      <c r="L272" s="64"/>
      <c r="M272" s="68">
        <v>2.0</v>
      </c>
      <c r="N272" s="67" t="s">
        <v>1042</v>
      </c>
      <c r="O272" s="89" t="s">
        <v>1463</v>
      </c>
      <c r="P272" s="89" t="s">
        <v>1461</v>
      </c>
      <c r="Q272" s="89" t="s">
        <v>1462</v>
      </c>
      <c r="R272" s="64"/>
    </row>
    <row r="273">
      <c r="A273" s="68">
        <v>1.0</v>
      </c>
      <c r="B273" s="67" t="s">
        <v>1043</v>
      </c>
      <c r="C273" s="89" t="s">
        <v>1463</v>
      </c>
      <c r="D273" s="89" t="s">
        <v>1461</v>
      </c>
      <c r="E273" s="89" t="s">
        <v>1462</v>
      </c>
      <c r="F273" s="64"/>
      <c r="G273" s="64" t="s">
        <v>1044</v>
      </c>
      <c r="I273" s="64"/>
      <c r="J273" s="64"/>
      <c r="K273" s="64"/>
      <c r="L273" s="64"/>
      <c r="M273" s="68">
        <v>1.0</v>
      </c>
      <c r="N273" s="67" t="s">
        <v>1045</v>
      </c>
      <c r="O273" s="89" t="s">
        <v>1463</v>
      </c>
      <c r="P273" s="89" t="s">
        <v>1461</v>
      </c>
      <c r="Q273" s="89" t="s">
        <v>1462</v>
      </c>
      <c r="R273" s="64"/>
    </row>
    <row r="274">
      <c r="A274" s="68">
        <v>1.0</v>
      </c>
      <c r="B274" s="67" t="s">
        <v>1046</v>
      </c>
      <c r="C274" s="89" t="s">
        <v>1463</v>
      </c>
      <c r="D274" s="89" t="s">
        <v>1461</v>
      </c>
      <c r="E274" s="89" t="s">
        <v>1462</v>
      </c>
      <c r="F274" s="64"/>
      <c r="G274" s="67" t="s">
        <v>45</v>
      </c>
      <c r="H274" s="67" t="s">
        <v>68</v>
      </c>
      <c r="I274" s="65" t="s">
        <v>1457</v>
      </c>
      <c r="J274" s="65" t="s">
        <v>1458</v>
      </c>
      <c r="K274" s="67" t="s">
        <v>1459</v>
      </c>
      <c r="L274" s="64"/>
      <c r="M274" s="68">
        <v>1.0</v>
      </c>
      <c r="N274" s="67" t="s">
        <v>1047</v>
      </c>
      <c r="O274" s="89" t="s">
        <v>1463</v>
      </c>
      <c r="P274" s="89" t="s">
        <v>1461</v>
      </c>
      <c r="Q274" s="89" t="s">
        <v>1462</v>
      </c>
      <c r="R274" s="64"/>
    </row>
    <row r="275">
      <c r="A275" s="68">
        <v>1.0</v>
      </c>
      <c r="B275" s="67" t="s">
        <v>1048</v>
      </c>
      <c r="C275" s="89" t="s">
        <v>1463</v>
      </c>
      <c r="D275" s="89" t="s">
        <v>1461</v>
      </c>
      <c r="E275" s="89" t="s">
        <v>1462</v>
      </c>
      <c r="F275" s="64"/>
      <c r="G275" s="68">
        <v>1.0</v>
      </c>
      <c r="H275" s="67" t="s">
        <v>1049</v>
      </c>
      <c r="I275" s="89" t="s">
        <v>1463</v>
      </c>
      <c r="J275" s="89" t="s">
        <v>1461</v>
      </c>
      <c r="K275" s="89" t="s">
        <v>1462</v>
      </c>
      <c r="L275" s="64"/>
      <c r="M275" s="68">
        <v>1.0</v>
      </c>
      <c r="N275" s="67" t="s">
        <v>1050</v>
      </c>
      <c r="O275" s="89" t="s">
        <v>1463</v>
      </c>
      <c r="P275" s="89" t="s">
        <v>1461</v>
      </c>
      <c r="Q275" s="89" t="s">
        <v>1462</v>
      </c>
      <c r="R275" s="64"/>
    </row>
    <row r="276">
      <c r="A276" s="68">
        <v>1.0</v>
      </c>
      <c r="B276" s="67" t="s">
        <v>1051</v>
      </c>
      <c r="C276" s="89" t="s">
        <v>1463</v>
      </c>
      <c r="D276" s="89" t="s">
        <v>1461</v>
      </c>
      <c r="E276" s="89" t="s">
        <v>1462</v>
      </c>
      <c r="F276" s="64"/>
      <c r="G276" s="68">
        <v>1.0</v>
      </c>
      <c r="H276" s="67" t="s">
        <v>1052</v>
      </c>
      <c r="I276" s="89" t="s">
        <v>1463</v>
      </c>
      <c r="J276" s="89" t="s">
        <v>1461</v>
      </c>
      <c r="K276" s="89" t="s">
        <v>1462</v>
      </c>
      <c r="L276" s="64"/>
      <c r="M276" s="68">
        <v>1.0</v>
      </c>
      <c r="N276" s="67" t="s">
        <v>1053</v>
      </c>
      <c r="O276" s="89" t="s">
        <v>1463</v>
      </c>
      <c r="P276" s="89" t="s">
        <v>1461</v>
      </c>
      <c r="Q276" s="89" t="s">
        <v>1462</v>
      </c>
      <c r="R276" s="64"/>
    </row>
    <row r="277">
      <c r="A277" s="68">
        <v>1.0</v>
      </c>
      <c r="B277" s="67" t="s">
        <v>1054</v>
      </c>
      <c r="C277" s="89" t="s">
        <v>1463</v>
      </c>
      <c r="D277" s="89" t="s">
        <v>1461</v>
      </c>
      <c r="E277" s="89" t="s">
        <v>1462</v>
      </c>
      <c r="F277" s="64"/>
      <c r="G277" s="68">
        <v>1.0</v>
      </c>
      <c r="H277" s="67" t="s">
        <v>1055</v>
      </c>
      <c r="I277" s="89" t="s">
        <v>1463</v>
      </c>
      <c r="J277" s="89" t="s">
        <v>1461</v>
      </c>
      <c r="K277" s="89" t="s">
        <v>1462</v>
      </c>
      <c r="L277" s="64"/>
      <c r="M277" s="68">
        <v>1.0</v>
      </c>
      <c r="N277" s="67" t="s">
        <v>1056</v>
      </c>
      <c r="O277" s="89" t="s">
        <v>1463</v>
      </c>
      <c r="P277" s="89" t="s">
        <v>1461</v>
      </c>
      <c r="Q277" s="89" t="s">
        <v>1462</v>
      </c>
      <c r="R277" s="64"/>
    </row>
    <row r="278">
      <c r="A278" s="68">
        <v>1.0</v>
      </c>
      <c r="B278" s="67" t="s">
        <v>1057</v>
      </c>
      <c r="C278" s="89" t="s">
        <v>1463</v>
      </c>
      <c r="D278" s="89" t="s">
        <v>1461</v>
      </c>
      <c r="E278" s="89" t="s">
        <v>1462</v>
      </c>
      <c r="F278" s="64"/>
      <c r="G278" s="68">
        <v>1.0</v>
      </c>
      <c r="H278" s="67" t="s">
        <v>1058</v>
      </c>
      <c r="I278" s="89" t="s">
        <v>1463</v>
      </c>
      <c r="J278" s="89" t="s">
        <v>1461</v>
      </c>
      <c r="K278" s="89" t="s">
        <v>1462</v>
      </c>
      <c r="L278" s="64"/>
      <c r="M278" s="68">
        <v>1.0</v>
      </c>
      <c r="N278" s="67" t="s">
        <v>1059</v>
      </c>
      <c r="O278" s="89" t="s">
        <v>1463</v>
      </c>
      <c r="P278" s="89" t="s">
        <v>1461</v>
      </c>
      <c r="Q278" s="89" t="s">
        <v>1462</v>
      </c>
      <c r="R278" s="64"/>
    </row>
    <row r="279">
      <c r="A279" s="68">
        <v>1.0</v>
      </c>
      <c r="B279" s="67" t="s">
        <v>1060</v>
      </c>
      <c r="C279" s="89" t="s">
        <v>1463</v>
      </c>
      <c r="D279" s="89" t="s">
        <v>1461</v>
      </c>
      <c r="E279" s="89" t="s">
        <v>1462</v>
      </c>
      <c r="F279" s="64"/>
      <c r="G279" s="68">
        <v>1.0</v>
      </c>
      <c r="H279" s="67" t="s">
        <v>1061</v>
      </c>
      <c r="I279" s="89" t="s">
        <v>1463</v>
      </c>
      <c r="J279" s="89" t="s">
        <v>1461</v>
      </c>
      <c r="K279" s="89" t="s">
        <v>1462</v>
      </c>
      <c r="L279" s="64"/>
      <c r="M279" s="68">
        <v>1.0</v>
      </c>
      <c r="N279" s="67" t="s">
        <v>1062</v>
      </c>
      <c r="O279" s="89" t="s">
        <v>1463</v>
      </c>
      <c r="P279" s="89" t="s">
        <v>1461</v>
      </c>
      <c r="Q279" s="89" t="s">
        <v>1462</v>
      </c>
      <c r="R279" s="64"/>
    </row>
    <row r="280">
      <c r="A280" s="68">
        <v>1.0</v>
      </c>
      <c r="B280" s="67" t="s">
        <v>1063</v>
      </c>
      <c r="C280" s="89" t="s">
        <v>1463</v>
      </c>
      <c r="D280" s="89" t="s">
        <v>1461</v>
      </c>
      <c r="E280" s="89" t="s">
        <v>1462</v>
      </c>
      <c r="F280" s="64"/>
      <c r="G280" s="68">
        <v>1.0</v>
      </c>
      <c r="H280" s="67" t="s">
        <v>1064</v>
      </c>
      <c r="I280" s="89" t="s">
        <v>1463</v>
      </c>
      <c r="J280" s="89" t="s">
        <v>1461</v>
      </c>
      <c r="K280" s="89" t="s">
        <v>1462</v>
      </c>
      <c r="L280" s="64"/>
      <c r="M280" s="68">
        <v>1.0</v>
      </c>
      <c r="N280" s="67" t="s">
        <v>1065</v>
      </c>
      <c r="O280" s="89" t="s">
        <v>1463</v>
      </c>
      <c r="P280" s="89" t="s">
        <v>1461</v>
      </c>
      <c r="Q280" s="89" t="s">
        <v>1462</v>
      </c>
      <c r="R280" s="64"/>
    </row>
    <row r="281">
      <c r="A281" s="68">
        <v>1.0</v>
      </c>
      <c r="B281" s="67" t="s">
        <v>1066</v>
      </c>
      <c r="C281" s="89" t="s">
        <v>1463</v>
      </c>
      <c r="D281" s="89" t="s">
        <v>1461</v>
      </c>
      <c r="E281" s="89" t="s">
        <v>1462</v>
      </c>
      <c r="F281" s="64"/>
      <c r="G281" s="68">
        <v>1.0</v>
      </c>
      <c r="H281" s="67" t="s">
        <v>1067</v>
      </c>
      <c r="I281" s="89" t="s">
        <v>1463</v>
      </c>
      <c r="J281" s="89" t="s">
        <v>1461</v>
      </c>
      <c r="K281" s="89" t="s">
        <v>1462</v>
      </c>
      <c r="L281" s="64"/>
      <c r="M281" s="68">
        <v>1.0</v>
      </c>
      <c r="N281" s="67" t="s">
        <v>1068</v>
      </c>
      <c r="O281" s="89" t="s">
        <v>1463</v>
      </c>
      <c r="P281" s="89" t="s">
        <v>1461</v>
      </c>
      <c r="Q281" s="89" t="s">
        <v>1462</v>
      </c>
      <c r="R281" s="64"/>
    </row>
    <row r="282">
      <c r="A282" s="68">
        <v>1.0</v>
      </c>
      <c r="B282" s="67" t="s">
        <v>1069</v>
      </c>
      <c r="C282" s="89" t="s">
        <v>1463</v>
      </c>
      <c r="D282" s="89" t="s">
        <v>1461</v>
      </c>
      <c r="E282" s="89" t="s">
        <v>1462</v>
      </c>
      <c r="F282" s="64"/>
      <c r="G282" s="68">
        <v>1.0</v>
      </c>
      <c r="H282" s="67" t="s">
        <v>1070</v>
      </c>
      <c r="I282" s="89" t="s">
        <v>1463</v>
      </c>
      <c r="J282" s="89" t="s">
        <v>1461</v>
      </c>
      <c r="K282" s="89" t="s">
        <v>1462</v>
      </c>
      <c r="L282" s="64"/>
      <c r="M282" s="68">
        <v>1.0</v>
      </c>
      <c r="N282" s="67" t="s">
        <v>1071</v>
      </c>
      <c r="O282" s="89" t="s">
        <v>1463</v>
      </c>
      <c r="P282" s="89" t="s">
        <v>1461</v>
      </c>
      <c r="Q282" s="89" t="s">
        <v>1462</v>
      </c>
      <c r="R282" s="64"/>
    </row>
    <row r="283">
      <c r="A283" s="68">
        <v>1.0</v>
      </c>
      <c r="B283" s="67" t="s">
        <v>1072</v>
      </c>
      <c r="C283" s="89" t="s">
        <v>1463</v>
      </c>
      <c r="D283" s="89" t="s">
        <v>1461</v>
      </c>
      <c r="E283" s="89" t="s">
        <v>1462</v>
      </c>
      <c r="F283" s="64"/>
      <c r="G283" s="68">
        <v>1.0</v>
      </c>
      <c r="H283" s="67" t="s">
        <v>1073</v>
      </c>
      <c r="I283" s="89" t="s">
        <v>1463</v>
      </c>
      <c r="J283" s="89" t="s">
        <v>1461</v>
      </c>
      <c r="K283" s="89" t="s">
        <v>1462</v>
      </c>
      <c r="L283" s="64"/>
      <c r="M283" s="68">
        <v>1.0</v>
      </c>
      <c r="N283" s="67" t="s">
        <v>1074</v>
      </c>
      <c r="O283" s="89" t="s">
        <v>1463</v>
      </c>
      <c r="P283" s="89" t="s">
        <v>1461</v>
      </c>
      <c r="Q283" s="89" t="s">
        <v>1462</v>
      </c>
      <c r="R283" s="64"/>
    </row>
    <row r="284">
      <c r="A284" s="68">
        <v>1.0</v>
      </c>
      <c r="B284" s="67" t="s">
        <v>1075</v>
      </c>
      <c r="C284" s="89" t="s">
        <v>1463</v>
      </c>
      <c r="D284" s="89" t="s">
        <v>1461</v>
      </c>
      <c r="E284" s="89" t="s">
        <v>1462</v>
      </c>
      <c r="F284" s="64"/>
      <c r="G284" s="68">
        <v>1.0</v>
      </c>
      <c r="H284" s="67" t="s">
        <v>1076</v>
      </c>
      <c r="I284" s="89" t="s">
        <v>1463</v>
      </c>
      <c r="J284" s="89" t="s">
        <v>1461</v>
      </c>
      <c r="K284" s="89" t="s">
        <v>1462</v>
      </c>
      <c r="L284" s="64"/>
      <c r="M284" s="68">
        <v>1.0</v>
      </c>
      <c r="N284" s="67" t="s">
        <v>1077</v>
      </c>
      <c r="O284" s="89" t="s">
        <v>1463</v>
      </c>
      <c r="P284" s="89" t="s">
        <v>1461</v>
      </c>
      <c r="Q284" s="89" t="s">
        <v>1462</v>
      </c>
      <c r="R284" s="64"/>
    </row>
    <row r="285">
      <c r="A285" s="68">
        <v>1.0</v>
      </c>
      <c r="B285" s="67" t="s">
        <v>1078</v>
      </c>
      <c r="C285" s="89" t="s">
        <v>1463</v>
      </c>
      <c r="D285" s="89" t="s">
        <v>1461</v>
      </c>
      <c r="E285" s="89" t="s">
        <v>1462</v>
      </c>
      <c r="F285" s="64"/>
      <c r="G285" s="68">
        <v>2.0</v>
      </c>
      <c r="H285" s="67" t="s">
        <v>1079</v>
      </c>
      <c r="I285" s="89" t="s">
        <v>1463</v>
      </c>
      <c r="J285" s="89" t="s">
        <v>1461</v>
      </c>
      <c r="K285" s="89" t="s">
        <v>1462</v>
      </c>
      <c r="L285" s="64"/>
      <c r="M285" s="68">
        <v>1.0</v>
      </c>
      <c r="N285" s="67" t="s">
        <v>1080</v>
      </c>
      <c r="O285" s="89" t="s">
        <v>1463</v>
      </c>
      <c r="P285" s="89" t="s">
        <v>1461</v>
      </c>
      <c r="Q285" s="89" t="s">
        <v>1462</v>
      </c>
      <c r="R285" s="64"/>
    </row>
    <row r="286">
      <c r="A286" s="68">
        <v>1.0</v>
      </c>
      <c r="B286" s="67" t="s">
        <v>1081</v>
      </c>
      <c r="C286" s="89" t="s">
        <v>1463</v>
      </c>
      <c r="D286" s="89" t="s">
        <v>1461</v>
      </c>
      <c r="E286" s="89" t="s">
        <v>1462</v>
      </c>
      <c r="F286" s="64"/>
      <c r="G286" s="68">
        <v>1.0</v>
      </c>
      <c r="H286" s="67" t="s">
        <v>1082</v>
      </c>
      <c r="I286" s="89" t="s">
        <v>1463</v>
      </c>
      <c r="J286" s="89" t="s">
        <v>1461</v>
      </c>
      <c r="K286" s="89" t="s">
        <v>1462</v>
      </c>
      <c r="L286" s="64"/>
      <c r="M286" s="68">
        <v>1.0</v>
      </c>
      <c r="N286" s="67" t="s">
        <v>1083</v>
      </c>
      <c r="O286" s="89" t="s">
        <v>1463</v>
      </c>
      <c r="P286" s="89" t="s">
        <v>1461</v>
      </c>
      <c r="Q286" s="89" t="s">
        <v>1462</v>
      </c>
      <c r="R286" s="64"/>
    </row>
    <row r="287">
      <c r="A287" s="68">
        <v>1.0</v>
      </c>
      <c r="B287" s="67" t="s">
        <v>1084</v>
      </c>
      <c r="C287" s="89" t="s">
        <v>1463</v>
      </c>
      <c r="D287" s="89" t="s">
        <v>1461</v>
      </c>
      <c r="E287" s="89" t="s">
        <v>1462</v>
      </c>
      <c r="F287" s="64"/>
      <c r="G287" s="68">
        <v>1.0</v>
      </c>
      <c r="H287" s="67" t="s">
        <v>1085</v>
      </c>
      <c r="I287" s="89" t="s">
        <v>1463</v>
      </c>
      <c r="J287" s="89" t="s">
        <v>1461</v>
      </c>
      <c r="K287" s="89" t="s">
        <v>1462</v>
      </c>
      <c r="L287" s="64"/>
      <c r="M287" s="68">
        <v>1.0</v>
      </c>
      <c r="N287" s="67" t="s">
        <v>1086</v>
      </c>
      <c r="O287" s="89" t="s">
        <v>1463</v>
      </c>
      <c r="P287" s="89" t="s">
        <v>1461</v>
      </c>
      <c r="Q287" s="89" t="s">
        <v>1462</v>
      </c>
      <c r="R287" s="64"/>
    </row>
    <row r="288">
      <c r="A288" s="68">
        <v>1.0</v>
      </c>
      <c r="B288" s="67" t="s">
        <v>1087</v>
      </c>
      <c r="C288" s="89" t="s">
        <v>1463</v>
      </c>
      <c r="D288" s="89" t="s">
        <v>1461</v>
      </c>
      <c r="E288" s="89" t="s">
        <v>1462</v>
      </c>
      <c r="F288" s="64"/>
      <c r="G288" s="68">
        <v>1.0</v>
      </c>
      <c r="H288" s="67" t="s">
        <v>1088</v>
      </c>
      <c r="I288" s="89" t="s">
        <v>1463</v>
      </c>
      <c r="J288" s="89" t="s">
        <v>1461</v>
      </c>
      <c r="K288" s="89" t="s">
        <v>1462</v>
      </c>
      <c r="L288" s="64"/>
      <c r="M288" s="68">
        <v>1.0</v>
      </c>
      <c r="N288" s="67" t="s">
        <v>1089</v>
      </c>
      <c r="O288" s="89" t="s">
        <v>1463</v>
      </c>
      <c r="P288" s="89" t="s">
        <v>1461</v>
      </c>
      <c r="Q288" s="89" t="s">
        <v>1462</v>
      </c>
      <c r="R288" s="64"/>
    </row>
    <row r="289">
      <c r="A289" s="68">
        <v>1.0</v>
      </c>
      <c r="B289" s="67" t="s">
        <v>1090</v>
      </c>
      <c r="C289" s="89" t="s">
        <v>1463</v>
      </c>
      <c r="D289" s="89" t="s">
        <v>1461</v>
      </c>
      <c r="E289" s="89" t="s">
        <v>1462</v>
      </c>
      <c r="F289" s="64"/>
      <c r="G289" s="68">
        <v>1.0</v>
      </c>
      <c r="H289" s="67" t="s">
        <v>1091</v>
      </c>
      <c r="I289" s="89" t="s">
        <v>1463</v>
      </c>
      <c r="J289" s="89" t="s">
        <v>1461</v>
      </c>
      <c r="K289" s="89" t="s">
        <v>1462</v>
      </c>
      <c r="L289" s="64"/>
      <c r="M289" s="68">
        <v>1.0</v>
      </c>
      <c r="N289" s="67" t="s">
        <v>1092</v>
      </c>
      <c r="O289" s="89" t="s">
        <v>1463</v>
      </c>
      <c r="P289" s="89" t="s">
        <v>1461</v>
      </c>
      <c r="Q289" s="89" t="s">
        <v>1462</v>
      </c>
      <c r="R289" s="64"/>
    </row>
    <row r="290">
      <c r="A290" s="68">
        <v>1.0</v>
      </c>
      <c r="B290" s="67" t="s">
        <v>1093</v>
      </c>
      <c r="C290" s="89" t="s">
        <v>1463</v>
      </c>
      <c r="D290" s="89" t="s">
        <v>1461</v>
      </c>
      <c r="E290" s="89" t="s">
        <v>1462</v>
      </c>
      <c r="F290" s="64"/>
      <c r="G290" s="68">
        <v>1.0</v>
      </c>
      <c r="H290" s="67" t="s">
        <v>1094</v>
      </c>
      <c r="I290" s="89" t="s">
        <v>1463</v>
      </c>
      <c r="J290" s="89" t="s">
        <v>1461</v>
      </c>
      <c r="K290" s="89" t="s">
        <v>1462</v>
      </c>
      <c r="L290" s="64"/>
      <c r="M290" s="68">
        <v>1.0</v>
      </c>
      <c r="N290" s="67" t="s">
        <v>1095</v>
      </c>
      <c r="O290" s="89" t="s">
        <v>1463</v>
      </c>
      <c r="P290" s="89" t="s">
        <v>1461</v>
      </c>
      <c r="Q290" s="89" t="s">
        <v>1462</v>
      </c>
      <c r="R290" s="64"/>
    </row>
    <row r="291">
      <c r="A291" s="68">
        <v>1.0</v>
      </c>
      <c r="B291" s="67" t="s">
        <v>1096</v>
      </c>
      <c r="C291" s="89" t="s">
        <v>1463</v>
      </c>
      <c r="D291" s="89" t="s">
        <v>1461</v>
      </c>
      <c r="E291" s="89" t="s">
        <v>1462</v>
      </c>
      <c r="F291" s="64"/>
      <c r="G291" s="68">
        <v>1.0</v>
      </c>
      <c r="H291" s="67" t="s">
        <v>1097</v>
      </c>
      <c r="I291" s="89" t="s">
        <v>1463</v>
      </c>
      <c r="J291" s="89" t="s">
        <v>1461</v>
      </c>
      <c r="K291" s="89" t="s">
        <v>1462</v>
      </c>
      <c r="L291" s="64"/>
      <c r="M291" s="68">
        <v>1.0</v>
      </c>
      <c r="N291" s="67" t="s">
        <v>1098</v>
      </c>
      <c r="O291" s="89" t="s">
        <v>1463</v>
      </c>
      <c r="P291" s="89" t="s">
        <v>1461</v>
      </c>
      <c r="Q291" s="89" t="s">
        <v>1462</v>
      </c>
      <c r="R291" s="64"/>
    </row>
    <row r="292">
      <c r="A292" s="68">
        <v>1.0</v>
      </c>
      <c r="B292" s="67" t="s">
        <v>1099</v>
      </c>
      <c r="C292" s="89" t="s">
        <v>1463</v>
      </c>
      <c r="D292" s="89" t="s">
        <v>1461</v>
      </c>
      <c r="E292" s="89" t="s">
        <v>1462</v>
      </c>
      <c r="F292" s="64"/>
      <c r="G292" s="68">
        <v>1.0</v>
      </c>
      <c r="H292" s="67" t="s">
        <v>1100</v>
      </c>
      <c r="I292" s="89" t="s">
        <v>1463</v>
      </c>
      <c r="J292" s="89" t="s">
        <v>1461</v>
      </c>
      <c r="K292" s="89" t="s">
        <v>1462</v>
      </c>
      <c r="L292" s="64"/>
      <c r="M292" s="68">
        <v>1.0</v>
      </c>
      <c r="N292" s="67" t="s">
        <v>1101</v>
      </c>
      <c r="O292" s="89" t="s">
        <v>1463</v>
      </c>
      <c r="P292" s="89" t="s">
        <v>1461</v>
      </c>
      <c r="Q292" s="89" t="s">
        <v>1462</v>
      </c>
      <c r="R292" s="64"/>
    </row>
    <row r="293">
      <c r="A293" s="68">
        <v>1.0</v>
      </c>
      <c r="B293" s="67" t="s">
        <v>1102</v>
      </c>
      <c r="C293" s="89" t="s">
        <v>1463</v>
      </c>
      <c r="D293" s="89" t="s">
        <v>1461</v>
      </c>
      <c r="E293" s="89" t="s">
        <v>1462</v>
      </c>
      <c r="F293" s="64"/>
      <c r="G293" s="68">
        <v>2.0</v>
      </c>
      <c r="H293" s="67" t="s">
        <v>1103</v>
      </c>
      <c r="I293" s="89" t="s">
        <v>1463</v>
      </c>
      <c r="J293" s="89" t="s">
        <v>1461</v>
      </c>
      <c r="K293" s="89" t="s">
        <v>1462</v>
      </c>
      <c r="L293" s="64"/>
      <c r="M293" s="64"/>
      <c r="N293" s="64"/>
      <c r="O293" s="64"/>
      <c r="P293" s="64"/>
      <c r="Q293" s="64"/>
      <c r="R293" s="64"/>
    </row>
    <row r="294">
      <c r="A294" s="68">
        <v>1.0</v>
      </c>
      <c r="B294" s="67" t="s">
        <v>1105</v>
      </c>
      <c r="C294" s="89" t="s">
        <v>1463</v>
      </c>
      <c r="D294" s="89" t="s">
        <v>1461</v>
      </c>
      <c r="E294" s="89" t="s">
        <v>1462</v>
      </c>
      <c r="F294" s="64"/>
      <c r="G294" s="68">
        <v>1.0</v>
      </c>
      <c r="H294" s="67" t="s">
        <v>1106</v>
      </c>
      <c r="I294" s="89" t="s">
        <v>1463</v>
      </c>
      <c r="J294" s="89" t="s">
        <v>1461</v>
      </c>
      <c r="K294" s="89" t="s">
        <v>1462</v>
      </c>
      <c r="L294" s="64"/>
      <c r="M294" s="64" t="s">
        <v>1104</v>
      </c>
      <c r="O294" s="64"/>
      <c r="P294" s="64"/>
      <c r="Q294" s="64"/>
      <c r="R294" s="64"/>
    </row>
    <row r="295">
      <c r="A295" s="68">
        <v>1.0</v>
      </c>
      <c r="B295" s="67" t="s">
        <v>1107</v>
      </c>
      <c r="C295" s="89" t="s">
        <v>1463</v>
      </c>
      <c r="D295" s="89" t="s">
        <v>1461</v>
      </c>
      <c r="E295" s="89" t="s">
        <v>1462</v>
      </c>
      <c r="F295" s="64"/>
      <c r="G295" s="68">
        <v>1.0</v>
      </c>
      <c r="H295" s="67" t="s">
        <v>1108</v>
      </c>
      <c r="I295" s="89" t="s">
        <v>1463</v>
      </c>
      <c r="J295" s="89" t="s">
        <v>1461</v>
      </c>
      <c r="K295" s="89" t="s">
        <v>1462</v>
      </c>
      <c r="L295" s="64"/>
      <c r="M295" s="67" t="s">
        <v>45</v>
      </c>
      <c r="N295" s="67" t="s">
        <v>68</v>
      </c>
      <c r="O295" s="65" t="s">
        <v>1457</v>
      </c>
      <c r="P295" s="65" t="s">
        <v>1458</v>
      </c>
      <c r="Q295" s="67" t="s">
        <v>1459</v>
      </c>
      <c r="R295" s="64"/>
    </row>
    <row r="296">
      <c r="A296" s="68">
        <v>1.0</v>
      </c>
      <c r="B296" s="67" t="s">
        <v>1111</v>
      </c>
      <c r="C296" s="89" t="s">
        <v>1463</v>
      </c>
      <c r="D296" s="89" t="s">
        <v>1461</v>
      </c>
      <c r="E296" s="89" t="s">
        <v>1462</v>
      </c>
      <c r="F296" s="64"/>
      <c r="G296" s="68">
        <v>1.0</v>
      </c>
      <c r="H296" s="67" t="s">
        <v>1112</v>
      </c>
      <c r="I296" s="89" t="s">
        <v>1463</v>
      </c>
      <c r="J296" s="89" t="s">
        <v>1461</v>
      </c>
      <c r="K296" s="89" t="s">
        <v>1462</v>
      </c>
      <c r="L296" s="64"/>
      <c r="M296" s="115">
        <v>1.0</v>
      </c>
      <c r="N296" s="89" t="s">
        <v>1109</v>
      </c>
      <c r="O296" s="89" t="s">
        <v>1463</v>
      </c>
      <c r="P296" s="89" t="s">
        <v>1461</v>
      </c>
      <c r="Q296" s="89" t="s">
        <v>1462</v>
      </c>
      <c r="R296" s="64"/>
    </row>
    <row r="297">
      <c r="A297" s="68">
        <v>1.0</v>
      </c>
      <c r="B297" s="67" t="s">
        <v>1115</v>
      </c>
      <c r="C297" s="89" t="s">
        <v>1463</v>
      </c>
      <c r="D297" s="89" t="s">
        <v>1461</v>
      </c>
      <c r="E297" s="89" t="s">
        <v>1462</v>
      </c>
      <c r="F297" s="64"/>
      <c r="G297" s="68">
        <v>1.0</v>
      </c>
      <c r="H297" s="67" t="s">
        <v>1116</v>
      </c>
      <c r="I297" s="89" t="s">
        <v>1463</v>
      </c>
      <c r="J297" s="89" t="s">
        <v>1461</v>
      </c>
      <c r="K297" s="89" t="s">
        <v>1462</v>
      </c>
      <c r="L297" s="64"/>
      <c r="M297" s="68">
        <v>1.0</v>
      </c>
      <c r="N297" s="67" t="s">
        <v>1113</v>
      </c>
      <c r="O297" s="89" t="s">
        <v>1463</v>
      </c>
      <c r="P297" s="89" t="s">
        <v>1461</v>
      </c>
      <c r="Q297" s="89" t="s">
        <v>1462</v>
      </c>
      <c r="R297" s="64"/>
    </row>
    <row r="298">
      <c r="A298" s="68">
        <v>1.0</v>
      </c>
      <c r="B298" s="67" t="s">
        <v>1119</v>
      </c>
      <c r="C298" s="89" t="s">
        <v>1463</v>
      </c>
      <c r="D298" s="89" t="s">
        <v>1461</v>
      </c>
      <c r="E298" s="89" t="s">
        <v>1462</v>
      </c>
      <c r="F298" s="64"/>
      <c r="G298" s="68">
        <v>1.0</v>
      </c>
      <c r="H298" s="67" t="s">
        <v>1120</v>
      </c>
      <c r="I298" s="89" t="s">
        <v>1463</v>
      </c>
      <c r="J298" s="89" t="s">
        <v>1461</v>
      </c>
      <c r="K298" s="89" t="s">
        <v>1462</v>
      </c>
      <c r="L298" s="64"/>
      <c r="M298" s="68">
        <v>1.0</v>
      </c>
      <c r="N298" s="67" t="s">
        <v>1117</v>
      </c>
      <c r="O298" s="89" t="s">
        <v>1463</v>
      </c>
      <c r="P298" s="89" t="s">
        <v>1461</v>
      </c>
      <c r="Q298" s="89" t="s">
        <v>1462</v>
      </c>
      <c r="R298" s="64"/>
    </row>
    <row r="299">
      <c r="A299" s="68">
        <v>1.0</v>
      </c>
      <c r="B299" s="67" t="s">
        <v>1123</v>
      </c>
      <c r="C299" s="89" t="s">
        <v>1463</v>
      </c>
      <c r="D299" s="89" t="s">
        <v>1461</v>
      </c>
      <c r="E299" s="89" t="s">
        <v>1462</v>
      </c>
      <c r="F299" s="64"/>
      <c r="G299" s="64"/>
      <c r="H299" s="64"/>
      <c r="I299" s="64"/>
      <c r="J299" s="64"/>
      <c r="K299" s="64"/>
      <c r="L299" s="64"/>
      <c r="M299" s="68">
        <v>1.0</v>
      </c>
      <c r="N299" s="67" t="s">
        <v>1121</v>
      </c>
      <c r="O299" s="89" t="s">
        <v>1463</v>
      </c>
      <c r="P299" s="89" t="s">
        <v>1461</v>
      </c>
      <c r="Q299" s="89" t="s">
        <v>1462</v>
      </c>
      <c r="R299" s="64"/>
    </row>
    <row r="300">
      <c r="A300" s="64"/>
      <c r="B300" s="64"/>
      <c r="C300" s="64"/>
      <c r="D300" s="64"/>
      <c r="E300" s="64"/>
      <c r="F300" s="64"/>
      <c r="G300" s="64" t="s">
        <v>1125</v>
      </c>
      <c r="I300" s="64"/>
      <c r="J300" s="64"/>
      <c r="K300" s="64"/>
      <c r="L300" s="64"/>
      <c r="M300" s="68">
        <v>2.0</v>
      </c>
      <c r="N300" s="67" t="s">
        <v>1124</v>
      </c>
      <c r="O300" s="89" t="s">
        <v>1470</v>
      </c>
      <c r="P300" s="89" t="s">
        <v>1471</v>
      </c>
      <c r="Q300" s="89" t="s">
        <v>1462</v>
      </c>
      <c r="R300" s="64"/>
    </row>
    <row r="301">
      <c r="A301" s="64" t="s">
        <v>1127</v>
      </c>
      <c r="C301" s="64"/>
      <c r="D301" s="64"/>
      <c r="E301" s="64"/>
      <c r="F301" s="64"/>
      <c r="G301" s="67" t="s">
        <v>45</v>
      </c>
      <c r="H301" s="67" t="s">
        <v>68</v>
      </c>
      <c r="I301" s="65" t="s">
        <v>1457</v>
      </c>
      <c r="J301" s="65" t="s">
        <v>1458</v>
      </c>
      <c r="K301" s="67" t="s">
        <v>1459</v>
      </c>
      <c r="L301" s="64"/>
      <c r="M301" s="68">
        <v>2.0</v>
      </c>
      <c r="N301" s="67" t="s">
        <v>1126</v>
      </c>
      <c r="O301" s="89" t="s">
        <v>1470</v>
      </c>
      <c r="P301" s="89" t="s">
        <v>1471</v>
      </c>
      <c r="Q301" s="89" t="s">
        <v>1462</v>
      </c>
      <c r="R301" s="64"/>
    </row>
    <row r="302">
      <c r="A302" s="67" t="s">
        <v>45</v>
      </c>
      <c r="B302" s="67" t="s">
        <v>68</v>
      </c>
      <c r="C302" s="65" t="s">
        <v>1457</v>
      </c>
      <c r="D302" s="65" t="s">
        <v>1458</v>
      </c>
      <c r="E302" s="67" t="s">
        <v>1459</v>
      </c>
      <c r="F302" s="64"/>
      <c r="G302" s="68">
        <v>1.0</v>
      </c>
      <c r="H302" s="67" t="s">
        <v>1129</v>
      </c>
      <c r="I302" s="89" t="s">
        <v>1463</v>
      </c>
      <c r="J302" s="89" t="s">
        <v>1461</v>
      </c>
      <c r="K302" s="89" t="s">
        <v>1462</v>
      </c>
      <c r="L302" s="64"/>
      <c r="M302" s="68">
        <v>1.0</v>
      </c>
      <c r="N302" s="67" t="s">
        <v>1128</v>
      </c>
      <c r="O302" s="89" t="s">
        <v>1470</v>
      </c>
      <c r="P302" s="89" t="s">
        <v>1471</v>
      </c>
      <c r="Q302" s="89" t="s">
        <v>1462</v>
      </c>
      <c r="R302" s="64"/>
    </row>
    <row r="303">
      <c r="A303" s="68">
        <v>1.0</v>
      </c>
      <c r="B303" s="67" t="s">
        <v>1131</v>
      </c>
      <c r="C303" s="89" t="s">
        <v>1463</v>
      </c>
      <c r="D303" s="89" t="s">
        <v>1461</v>
      </c>
      <c r="E303" s="89" t="s">
        <v>1462</v>
      </c>
      <c r="F303" s="64"/>
      <c r="G303" s="68">
        <v>1.0</v>
      </c>
      <c r="H303" s="67" t="s">
        <v>1132</v>
      </c>
      <c r="I303" s="89" t="s">
        <v>1463</v>
      </c>
      <c r="J303" s="89" t="s">
        <v>1461</v>
      </c>
      <c r="K303" s="89" t="s">
        <v>1462</v>
      </c>
      <c r="L303" s="64"/>
      <c r="M303" s="68">
        <v>1.0</v>
      </c>
      <c r="N303" s="67" t="s">
        <v>1130</v>
      </c>
      <c r="O303" s="89" t="s">
        <v>1470</v>
      </c>
      <c r="P303" s="89" t="s">
        <v>1471</v>
      </c>
      <c r="Q303" s="89" t="s">
        <v>1462</v>
      </c>
      <c r="R303" s="64"/>
    </row>
    <row r="304">
      <c r="A304" s="68">
        <v>1.0</v>
      </c>
      <c r="B304" s="67" t="s">
        <v>1133</v>
      </c>
      <c r="C304" s="89" t="s">
        <v>1463</v>
      </c>
      <c r="D304" s="89" t="s">
        <v>1461</v>
      </c>
      <c r="E304" s="89" t="s">
        <v>1462</v>
      </c>
      <c r="F304" s="64"/>
      <c r="G304" s="68">
        <v>1.0</v>
      </c>
      <c r="H304" s="67" t="s">
        <v>1134</v>
      </c>
      <c r="I304" s="89" t="s">
        <v>1463</v>
      </c>
      <c r="J304" s="89" t="s">
        <v>1461</v>
      </c>
      <c r="K304" s="89" t="s">
        <v>1462</v>
      </c>
      <c r="L304" s="64"/>
      <c r="M304" s="64" t="s">
        <v>1135</v>
      </c>
      <c r="O304" s="64"/>
      <c r="P304" s="64"/>
      <c r="Q304" s="64"/>
      <c r="R304" s="64"/>
    </row>
    <row r="305">
      <c r="A305" s="68">
        <v>1.0</v>
      </c>
      <c r="B305" s="67" t="s">
        <v>1136</v>
      </c>
      <c r="C305" s="89" t="s">
        <v>1463</v>
      </c>
      <c r="D305" s="89" t="s">
        <v>1461</v>
      </c>
      <c r="E305" s="89" t="s">
        <v>1462</v>
      </c>
      <c r="F305" s="64"/>
      <c r="G305" s="68">
        <v>1.0</v>
      </c>
      <c r="H305" s="67" t="s">
        <v>1137</v>
      </c>
      <c r="I305" s="89" t="s">
        <v>1463</v>
      </c>
      <c r="J305" s="89" t="s">
        <v>1461</v>
      </c>
      <c r="K305" s="89" t="s">
        <v>1462</v>
      </c>
      <c r="L305" s="64"/>
      <c r="M305" s="67" t="s">
        <v>45</v>
      </c>
      <c r="N305" s="67" t="s">
        <v>68</v>
      </c>
      <c r="O305" s="65" t="s">
        <v>1457</v>
      </c>
      <c r="P305" s="65" t="s">
        <v>1458</v>
      </c>
      <c r="Q305" s="67" t="s">
        <v>1459</v>
      </c>
      <c r="R305" s="64"/>
    </row>
    <row r="306">
      <c r="A306" s="68">
        <v>1.0</v>
      </c>
      <c r="B306" s="67" t="s">
        <v>1138</v>
      </c>
      <c r="C306" s="89" t="s">
        <v>1463</v>
      </c>
      <c r="D306" s="89" t="s">
        <v>1461</v>
      </c>
      <c r="E306" s="89" t="s">
        <v>1462</v>
      </c>
      <c r="F306" s="64"/>
      <c r="G306" s="68">
        <v>1.0</v>
      </c>
      <c r="H306" s="67" t="s">
        <v>1139</v>
      </c>
      <c r="I306" s="89" t="s">
        <v>1463</v>
      </c>
      <c r="J306" s="89" t="s">
        <v>1461</v>
      </c>
      <c r="K306" s="89" t="s">
        <v>1462</v>
      </c>
      <c r="L306" s="64"/>
      <c r="M306" s="68">
        <v>1.0</v>
      </c>
      <c r="N306" s="67" t="s">
        <v>1140</v>
      </c>
      <c r="O306" s="89" t="s">
        <v>1463</v>
      </c>
      <c r="P306" s="89" t="s">
        <v>1461</v>
      </c>
      <c r="Q306" s="89" t="s">
        <v>1462</v>
      </c>
      <c r="R306" s="64"/>
    </row>
    <row r="307">
      <c r="A307" s="68">
        <v>1.0</v>
      </c>
      <c r="B307" s="67" t="s">
        <v>1141</v>
      </c>
      <c r="C307" s="89" t="s">
        <v>1463</v>
      </c>
      <c r="D307" s="89" t="s">
        <v>1461</v>
      </c>
      <c r="E307" s="89" t="s">
        <v>1462</v>
      </c>
      <c r="F307" s="64"/>
      <c r="G307" s="68">
        <v>1.0</v>
      </c>
      <c r="H307" s="67" t="s">
        <v>1142</v>
      </c>
      <c r="I307" s="89" t="s">
        <v>1463</v>
      </c>
      <c r="J307" s="89" t="s">
        <v>1461</v>
      </c>
      <c r="K307" s="89" t="s">
        <v>1462</v>
      </c>
      <c r="L307" s="64"/>
      <c r="M307" s="68">
        <v>2.0</v>
      </c>
      <c r="N307" s="67" t="s">
        <v>1143</v>
      </c>
      <c r="O307" s="89" t="s">
        <v>1463</v>
      </c>
      <c r="P307" s="89" t="s">
        <v>1461</v>
      </c>
      <c r="Q307" s="89" t="s">
        <v>1462</v>
      </c>
      <c r="R307" s="64"/>
    </row>
    <row r="308">
      <c r="A308" s="68">
        <v>1.0</v>
      </c>
      <c r="B308" s="67" t="s">
        <v>1144</v>
      </c>
      <c r="C308" s="89" t="s">
        <v>1463</v>
      </c>
      <c r="D308" s="89" t="s">
        <v>1461</v>
      </c>
      <c r="E308" s="89" t="s">
        <v>1462</v>
      </c>
      <c r="F308" s="64"/>
      <c r="G308" s="68">
        <v>1.0</v>
      </c>
      <c r="H308" s="67" t="s">
        <v>1145</v>
      </c>
      <c r="I308" s="89" t="s">
        <v>1463</v>
      </c>
      <c r="J308" s="89" t="s">
        <v>1461</v>
      </c>
      <c r="K308" s="89" t="s">
        <v>1462</v>
      </c>
      <c r="L308" s="64"/>
      <c r="M308" s="68">
        <v>1.0</v>
      </c>
      <c r="N308" s="67" t="s">
        <v>1146</v>
      </c>
      <c r="O308" s="89" t="s">
        <v>1463</v>
      </c>
      <c r="P308" s="89" t="s">
        <v>1461</v>
      </c>
      <c r="Q308" s="89" t="s">
        <v>1462</v>
      </c>
      <c r="R308" s="64"/>
    </row>
    <row r="309">
      <c r="A309" s="68">
        <v>1.0</v>
      </c>
      <c r="B309" s="67" t="s">
        <v>1147</v>
      </c>
      <c r="C309" s="89" t="s">
        <v>1463</v>
      </c>
      <c r="D309" s="89" t="s">
        <v>1461</v>
      </c>
      <c r="E309" s="89" t="s">
        <v>1462</v>
      </c>
      <c r="F309" s="64"/>
      <c r="G309" s="68">
        <v>1.0</v>
      </c>
      <c r="H309" s="67" t="s">
        <v>1148</v>
      </c>
      <c r="I309" s="89" t="s">
        <v>1463</v>
      </c>
      <c r="J309" s="89" t="s">
        <v>1461</v>
      </c>
      <c r="K309" s="89" t="s">
        <v>1462</v>
      </c>
      <c r="L309" s="64"/>
      <c r="M309" s="68">
        <v>1.0</v>
      </c>
      <c r="N309" s="67" t="s">
        <v>1149</v>
      </c>
      <c r="O309" s="89" t="s">
        <v>1463</v>
      </c>
      <c r="P309" s="89" t="s">
        <v>1461</v>
      </c>
      <c r="Q309" s="89" t="s">
        <v>1462</v>
      </c>
      <c r="R309" s="64"/>
    </row>
    <row r="310">
      <c r="A310" s="68">
        <v>1.0</v>
      </c>
      <c r="B310" s="67" t="s">
        <v>1150</v>
      </c>
      <c r="C310" s="89" t="s">
        <v>1463</v>
      </c>
      <c r="D310" s="89" t="s">
        <v>1461</v>
      </c>
      <c r="E310" s="89" t="s">
        <v>1462</v>
      </c>
      <c r="F310" s="64"/>
      <c r="G310" s="68">
        <v>1.0</v>
      </c>
      <c r="H310" s="67" t="s">
        <v>1151</v>
      </c>
      <c r="I310" s="89" t="s">
        <v>1463</v>
      </c>
      <c r="J310" s="89" t="s">
        <v>1461</v>
      </c>
      <c r="K310" s="89" t="s">
        <v>1462</v>
      </c>
      <c r="L310" s="64"/>
      <c r="M310" s="68">
        <v>1.0</v>
      </c>
      <c r="N310" s="67" t="s">
        <v>1152</v>
      </c>
      <c r="O310" s="89" t="s">
        <v>1463</v>
      </c>
      <c r="P310" s="89" t="s">
        <v>1461</v>
      </c>
      <c r="Q310" s="89" t="s">
        <v>1462</v>
      </c>
      <c r="R310" s="64"/>
    </row>
    <row r="311">
      <c r="A311" s="68">
        <v>1.0</v>
      </c>
      <c r="B311" s="67" t="s">
        <v>1153</v>
      </c>
      <c r="C311" s="89" t="s">
        <v>1463</v>
      </c>
      <c r="D311" s="89" t="s">
        <v>1461</v>
      </c>
      <c r="E311" s="89" t="s">
        <v>1462</v>
      </c>
      <c r="F311" s="64"/>
      <c r="G311" s="68">
        <v>1.0</v>
      </c>
      <c r="H311" s="67" t="s">
        <v>1154</v>
      </c>
      <c r="I311" s="89" t="s">
        <v>1463</v>
      </c>
      <c r="J311" s="89" t="s">
        <v>1461</v>
      </c>
      <c r="K311" s="89" t="s">
        <v>1462</v>
      </c>
      <c r="L311" s="64"/>
      <c r="M311" s="68">
        <v>1.0</v>
      </c>
      <c r="N311" s="67" t="s">
        <v>1155</v>
      </c>
      <c r="O311" s="89" t="s">
        <v>1463</v>
      </c>
      <c r="P311" s="89" t="s">
        <v>1461</v>
      </c>
      <c r="Q311" s="89" t="s">
        <v>1462</v>
      </c>
      <c r="R311" s="64"/>
    </row>
    <row r="312">
      <c r="A312" s="68">
        <v>2.0</v>
      </c>
      <c r="B312" s="67" t="s">
        <v>1156</v>
      </c>
      <c r="C312" s="89" t="s">
        <v>1463</v>
      </c>
      <c r="D312" s="89" t="s">
        <v>1461</v>
      </c>
      <c r="E312" s="89" t="s">
        <v>1462</v>
      </c>
      <c r="F312" s="64"/>
      <c r="G312" s="68">
        <v>1.0</v>
      </c>
      <c r="H312" s="67" t="s">
        <v>1157</v>
      </c>
      <c r="I312" s="89" t="s">
        <v>1463</v>
      </c>
      <c r="J312" s="89" t="s">
        <v>1461</v>
      </c>
      <c r="K312" s="89" t="s">
        <v>1462</v>
      </c>
      <c r="L312" s="64"/>
      <c r="M312" s="68">
        <v>1.0</v>
      </c>
      <c r="N312" s="67" t="s">
        <v>1158</v>
      </c>
      <c r="O312" s="89" t="s">
        <v>1463</v>
      </c>
      <c r="P312" s="89" t="s">
        <v>1461</v>
      </c>
      <c r="Q312" s="89" t="s">
        <v>1462</v>
      </c>
      <c r="R312" s="64"/>
    </row>
    <row r="313">
      <c r="A313" s="68">
        <v>2.0</v>
      </c>
      <c r="B313" s="67" t="s">
        <v>1159</v>
      </c>
      <c r="C313" s="89" t="s">
        <v>1463</v>
      </c>
      <c r="D313" s="89" t="s">
        <v>1461</v>
      </c>
      <c r="E313" s="89" t="s">
        <v>1462</v>
      </c>
      <c r="F313" s="64"/>
      <c r="G313" s="68">
        <v>1.0</v>
      </c>
      <c r="H313" s="67" t="s">
        <v>1160</v>
      </c>
      <c r="I313" s="89" t="s">
        <v>1463</v>
      </c>
      <c r="J313" s="89" t="s">
        <v>1461</v>
      </c>
      <c r="K313" s="89" t="s">
        <v>1462</v>
      </c>
      <c r="L313" s="64"/>
      <c r="M313" s="68">
        <v>1.0</v>
      </c>
      <c r="N313" s="67" t="s">
        <v>1161</v>
      </c>
      <c r="O313" s="89" t="s">
        <v>1463</v>
      </c>
      <c r="P313" s="89" t="s">
        <v>1461</v>
      </c>
      <c r="Q313" s="89" t="s">
        <v>1462</v>
      </c>
      <c r="R313" s="64"/>
    </row>
    <row r="314">
      <c r="A314" s="68">
        <v>1.0</v>
      </c>
      <c r="B314" s="67" t="s">
        <v>1162</v>
      </c>
      <c r="C314" s="89" t="s">
        <v>1463</v>
      </c>
      <c r="D314" s="89" t="s">
        <v>1461</v>
      </c>
      <c r="E314" s="89" t="s">
        <v>1462</v>
      </c>
      <c r="F314" s="64"/>
      <c r="G314" s="68">
        <v>1.0</v>
      </c>
      <c r="H314" s="67" t="s">
        <v>1163</v>
      </c>
      <c r="I314" s="89" t="s">
        <v>1463</v>
      </c>
      <c r="J314" s="89" t="s">
        <v>1461</v>
      </c>
      <c r="K314" s="89" t="s">
        <v>1462</v>
      </c>
      <c r="L314" s="64"/>
      <c r="M314" s="68">
        <v>1.0</v>
      </c>
      <c r="N314" s="67" t="s">
        <v>1164</v>
      </c>
      <c r="O314" s="89" t="s">
        <v>1463</v>
      </c>
      <c r="P314" s="89" t="s">
        <v>1461</v>
      </c>
      <c r="Q314" s="89" t="s">
        <v>1462</v>
      </c>
      <c r="R314" s="64"/>
    </row>
    <row r="315">
      <c r="A315" s="68">
        <v>1.0</v>
      </c>
      <c r="B315" s="67" t="s">
        <v>1165</v>
      </c>
      <c r="C315" s="89" t="s">
        <v>1463</v>
      </c>
      <c r="D315" s="89" t="s">
        <v>1461</v>
      </c>
      <c r="E315" s="89" t="s">
        <v>1462</v>
      </c>
      <c r="F315" s="64"/>
      <c r="G315" s="68">
        <v>1.0</v>
      </c>
      <c r="H315" s="67" t="s">
        <v>1166</v>
      </c>
      <c r="I315" s="89" t="s">
        <v>1463</v>
      </c>
      <c r="J315" s="89" t="s">
        <v>1461</v>
      </c>
      <c r="K315" s="89" t="s">
        <v>1462</v>
      </c>
      <c r="L315" s="64"/>
      <c r="M315" s="68">
        <v>1.0</v>
      </c>
      <c r="N315" s="67" t="s">
        <v>1167</v>
      </c>
      <c r="O315" s="89" t="s">
        <v>1463</v>
      </c>
      <c r="P315" s="89" t="s">
        <v>1461</v>
      </c>
      <c r="Q315" s="89" t="s">
        <v>1462</v>
      </c>
      <c r="R315" s="64"/>
    </row>
    <row r="316">
      <c r="A316" s="68">
        <v>1.0</v>
      </c>
      <c r="B316" s="67" t="s">
        <v>1168</v>
      </c>
      <c r="C316" s="89" t="s">
        <v>1463</v>
      </c>
      <c r="D316" s="89" t="s">
        <v>1461</v>
      </c>
      <c r="E316" s="89" t="s">
        <v>1462</v>
      </c>
      <c r="F316" s="64"/>
      <c r="G316" s="68">
        <v>1.0</v>
      </c>
      <c r="H316" s="67" t="s">
        <v>1169</v>
      </c>
      <c r="I316" s="89" t="s">
        <v>1463</v>
      </c>
      <c r="J316" s="89" t="s">
        <v>1461</v>
      </c>
      <c r="K316" s="89" t="s">
        <v>1462</v>
      </c>
      <c r="L316" s="64"/>
      <c r="M316" s="68">
        <v>1.0</v>
      </c>
      <c r="N316" s="67" t="s">
        <v>1170</v>
      </c>
      <c r="O316" s="89" t="s">
        <v>1463</v>
      </c>
      <c r="P316" s="89" t="s">
        <v>1461</v>
      </c>
      <c r="Q316" s="89" t="s">
        <v>1462</v>
      </c>
      <c r="R316" s="64"/>
    </row>
    <row r="317">
      <c r="A317" s="68">
        <v>1.0</v>
      </c>
      <c r="B317" s="67" t="s">
        <v>1171</v>
      </c>
      <c r="C317" s="89" t="s">
        <v>1463</v>
      </c>
      <c r="D317" s="89" t="s">
        <v>1461</v>
      </c>
      <c r="E317" s="89" t="s">
        <v>1462</v>
      </c>
      <c r="F317" s="64"/>
      <c r="G317" s="68">
        <v>1.0</v>
      </c>
      <c r="H317" s="67" t="s">
        <v>1172</v>
      </c>
      <c r="I317" s="89" t="s">
        <v>1463</v>
      </c>
      <c r="J317" s="89" t="s">
        <v>1461</v>
      </c>
      <c r="K317" s="89" t="s">
        <v>1462</v>
      </c>
      <c r="L317" s="64"/>
      <c r="M317" s="68">
        <v>1.0</v>
      </c>
      <c r="N317" s="67" t="s">
        <v>1173</v>
      </c>
      <c r="O317" s="89" t="s">
        <v>1463</v>
      </c>
      <c r="P317" s="89" t="s">
        <v>1461</v>
      </c>
      <c r="Q317" s="89" t="s">
        <v>1462</v>
      </c>
      <c r="R317" s="64"/>
    </row>
    <row r="318">
      <c r="A318" s="68">
        <v>1.0</v>
      </c>
      <c r="B318" s="67" t="s">
        <v>1174</v>
      </c>
      <c r="C318" s="89" t="s">
        <v>1463</v>
      </c>
      <c r="D318" s="89" t="s">
        <v>1461</v>
      </c>
      <c r="E318" s="89" t="s">
        <v>1462</v>
      </c>
      <c r="F318" s="64"/>
      <c r="G318" s="68">
        <v>1.0</v>
      </c>
      <c r="H318" s="67" t="s">
        <v>1175</v>
      </c>
      <c r="I318" s="89" t="s">
        <v>1463</v>
      </c>
      <c r="J318" s="89" t="s">
        <v>1461</v>
      </c>
      <c r="K318" s="89" t="s">
        <v>1462</v>
      </c>
      <c r="L318" s="64"/>
      <c r="M318" s="68">
        <v>1.0</v>
      </c>
      <c r="N318" s="67" t="s">
        <v>1176</v>
      </c>
      <c r="O318" s="89" t="s">
        <v>1463</v>
      </c>
      <c r="P318" s="89" t="s">
        <v>1461</v>
      </c>
      <c r="Q318" s="89" t="s">
        <v>1462</v>
      </c>
      <c r="R318" s="64"/>
    </row>
    <row r="319">
      <c r="A319" s="68">
        <v>2.0</v>
      </c>
      <c r="B319" s="67" t="s">
        <v>1177</v>
      </c>
      <c r="C319" s="89" t="s">
        <v>1463</v>
      </c>
      <c r="D319" s="89" t="s">
        <v>1461</v>
      </c>
      <c r="E319" s="89" t="s">
        <v>1462</v>
      </c>
      <c r="F319" s="64"/>
      <c r="G319" s="68">
        <v>1.0</v>
      </c>
      <c r="H319" s="67" t="s">
        <v>1178</v>
      </c>
      <c r="I319" s="89" t="s">
        <v>1463</v>
      </c>
      <c r="J319" s="89" t="s">
        <v>1461</v>
      </c>
      <c r="K319" s="89" t="s">
        <v>1462</v>
      </c>
      <c r="L319" s="64"/>
      <c r="M319" s="68">
        <v>1.0</v>
      </c>
      <c r="N319" s="67" t="s">
        <v>1179</v>
      </c>
      <c r="O319" s="89" t="s">
        <v>1463</v>
      </c>
      <c r="P319" s="89" t="s">
        <v>1461</v>
      </c>
      <c r="Q319" s="89" t="s">
        <v>1462</v>
      </c>
      <c r="R319" s="64"/>
    </row>
    <row r="320">
      <c r="A320" s="68">
        <v>1.0</v>
      </c>
      <c r="B320" s="67" t="s">
        <v>1180</v>
      </c>
      <c r="C320" s="89" t="s">
        <v>1463</v>
      </c>
      <c r="D320" s="89" t="s">
        <v>1461</v>
      </c>
      <c r="E320" s="89" t="s">
        <v>1462</v>
      </c>
      <c r="F320" s="64"/>
      <c r="G320" s="68">
        <v>1.0</v>
      </c>
      <c r="H320" s="67" t="s">
        <v>1181</v>
      </c>
      <c r="I320" s="89" t="s">
        <v>1463</v>
      </c>
      <c r="J320" s="89" t="s">
        <v>1461</v>
      </c>
      <c r="K320" s="89" t="s">
        <v>1462</v>
      </c>
      <c r="L320" s="64"/>
      <c r="M320" s="68">
        <v>1.0</v>
      </c>
      <c r="N320" s="67" t="s">
        <v>1182</v>
      </c>
      <c r="O320" s="89" t="s">
        <v>1463</v>
      </c>
      <c r="P320" s="89" t="s">
        <v>1461</v>
      </c>
      <c r="Q320" s="89" t="s">
        <v>1462</v>
      </c>
      <c r="R320" s="64"/>
    </row>
    <row r="321">
      <c r="A321" s="68">
        <v>1.0</v>
      </c>
      <c r="B321" s="67" t="s">
        <v>1183</v>
      </c>
      <c r="C321" s="89" t="s">
        <v>1463</v>
      </c>
      <c r="D321" s="89" t="s">
        <v>1461</v>
      </c>
      <c r="E321" s="89" t="s">
        <v>1462</v>
      </c>
      <c r="F321" s="64"/>
      <c r="G321" s="68">
        <v>1.0</v>
      </c>
      <c r="H321" s="67" t="s">
        <v>1184</v>
      </c>
      <c r="I321" s="89" t="s">
        <v>1463</v>
      </c>
      <c r="J321" s="89" t="s">
        <v>1461</v>
      </c>
      <c r="K321" s="89" t="s">
        <v>1462</v>
      </c>
      <c r="L321" s="64"/>
      <c r="M321" s="68">
        <v>1.0</v>
      </c>
      <c r="N321" s="67" t="s">
        <v>1185</v>
      </c>
      <c r="O321" s="89" t="s">
        <v>1463</v>
      </c>
      <c r="P321" s="89" t="s">
        <v>1461</v>
      </c>
      <c r="Q321" s="89" t="s">
        <v>1462</v>
      </c>
      <c r="R321" s="64"/>
    </row>
    <row r="322">
      <c r="A322" s="68">
        <v>1.0</v>
      </c>
      <c r="B322" s="67" t="s">
        <v>1186</v>
      </c>
      <c r="C322" s="89" t="s">
        <v>1463</v>
      </c>
      <c r="D322" s="89" t="s">
        <v>1461</v>
      </c>
      <c r="E322" s="89" t="s">
        <v>1462</v>
      </c>
      <c r="F322" s="64"/>
      <c r="G322" s="68">
        <v>1.0</v>
      </c>
      <c r="H322" s="67" t="s">
        <v>1187</v>
      </c>
      <c r="I322" s="89" t="s">
        <v>1463</v>
      </c>
      <c r="J322" s="89" t="s">
        <v>1461</v>
      </c>
      <c r="K322" s="89" t="s">
        <v>1462</v>
      </c>
      <c r="L322" s="64"/>
      <c r="M322" s="68">
        <v>1.0</v>
      </c>
      <c r="N322" s="67" t="s">
        <v>1188</v>
      </c>
      <c r="O322" s="89" t="s">
        <v>1463</v>
      </c>
      <c r="P322" s="89" t="s">
        <v>1461</v>
      </c>
      <c r="Q322" s="89" t="s">
        <v>1462</v>
      </c>
      <c r="R322" s="64"/>
    </row>
    <row r="323">
      <c r="A323" s="68">
        <v>1.0</v>
      </c>
      <c r="B323" s="67" t="s">
        <v>1189</v>
      </c>
      <c r="C323" s="89" t="s">
        <v>1463</v>
      </c>
      <c r="D323" s="89" t="s">
        <v>1461</v>
      </c>
      <c r="E323" s="89" t="s">
        <v>1462</v>
      </c>
      <c r="F323" s="64"/>
      <c r="G323" s="68">
        <v>1.0</v>
      </c>
      <c r="H323" s="67" t="s">
        <v>1190</v>
      </c>
      <c r="I323" s="89" t="s">
        <v>1463</v>
      </c>
      <c r="J323" s="89" t="s">
        <v>1461</v>
      </c>
      <c r="K323" s="89" t="s">
        <v>1462</v>
      </c>
      <c r="L323" s="64"/>
      <c r="M323" s="68">
        <v>1.0</v>
      </c>
      <c r="N323" s="67" t="s">
        <v>1191</v>
      </c>
      <c r="O323" s="89" t="s">
        <v>1463</v>
      </c>
      <c r="P323" s="89" t="s">
        <v>1461</v>
      </c>
      <c r="Q323" s="89" t="s">
        <v>1462</v>
      </c>
      <c r="R323" s="64"/>
    </row>
    <row r="324">
      <c r="A324" s="68">
        <v>1.0</v>
      </c>
      <c r="B324" s="67" t="s">
        <v>1192</v>
      </c>
      <c r="C324" s="89" t="s">
        <v>1463</v>
      </c>
      <c r="D324" s="89" t="s">
        <v>1461</v>
      </c>
      <c r="E324" s="89" t="s">
        <v>1462</v>
      </c>
      <c r="F324" s="64"/>
      <c r="G324" s="68">
        <v>1.0</v>
      </c>
      <c r="H324" s="67" t="s">
        <v>1193</v>
      </c>
      <c r="I324" s="89" t="s">
        <v>1463</v>
      </c>
      <c r="J324" s="89" t="s">
        <v>1461</v>
      </c>
      <c r="K324" s="89" t="s">
        <v>1462</v>
      </c>
      <c r="L324" s="64"/>
      <c r="M324" s="68">
        <v>1.0</v>
      </c>
      <c r="N324" s="67" t="s">
        <v>1194</v>
      </c>
      <c r="O324" s="89" t="s">
        <v>1463</v>
      </c>
      <c r="P324" s="89" t="s">
        <v>1461</v>
      </c>
      <c r="Q324" s="89" t="s">
        <v>1462</v>
      </c>
      <c r="R324" s="64"/>
    </row>
    <row r="325">
      <c r="A325" s="68">
        <v>1.0</v>
      </c>
      <c r="B325" s="67" t="s">
        <v>1195</v>
      </c>
      <c r="C325" s="89" t="s">
        <v>1463</v>
      </c>
      <c r="D325" s="89" t="s">
        <v>1461</v>
      </c>
      <c r="E325" s="89" t="s">
        <v>1462</v>
      </c>
      <c r="F325" s="64"/>
      <c r="G325" s="68">
        <v>1.0</v>
      </c>
      <c r="H325" s="67" t="s">
        <v>1196</v>
      </c>
      <c r="I325" s="89" t="s">
        <v>1463</v>
      </c>
      <c r="J325" s="89" t="s">
        <v>1461</v>
      </c>
      <c r="K325" s="89" t="s">
        <v>1462</v>
      </c>
      <c r="L325" s="64"/>
      <c r="M325" s="64"/>
      <c r="N325" s="64"/>
      <c r="O325" s="64"/>
      <c r="P325" s="64"/>
      <c r="Q325" s="64"/>
      <c r="R325" s="64"/>
    </row>
    <row r="326">
      <c r="A326" s="64"/>
      <c r="B326" s="64"/>
      <c r="C326" s="64"/>
      <c r="D326" s="64"/>
      <c r="E326" s="64"/>
      <c r="F326" s="64"/>
      <c r="G326" s="68">
        <v>1.0</v>
      </c>
      <c r="H326" s="67" t="s">
        <v>1197</v>
      </c>
      <c r="I326" s="89" t="s">
        <v>1463</v>
      </c>
      <c r="J326" s="89" t="s">
        <v>1461</v>
      </c>
      <c r="K326" s="89" t="s">
        <v>1462</v>
      </c>
      <c r="L326" s="64"/>
      <c r="M326" s="64" t="s">
        <v>1198</v>
      </c>
      <c r="O326" s="64"/>
      <c r="P326" s="64"/>
      <c r="Q326" s="64"/>
      <c r="R326" s="64"/>
    </row>
    <row r="327">
      <c r="A327" s="64" t="s">
        <v>1199</v>
      </c>
      <c r="C327" s="64"/>
      <c r="D327" s="64"/>
      <c r="E327" s="64"/>
      <c r="F327" s="64"/>
      <c r="G327" s="68">
        <v>1.0</v>
      </c>
      <c r="H327" s="67" t="s">
        <v>1200</v>
      </c>
      <c r="I327" s="89" t="s">
        <v>1463</v>
      </c>
      <c r="J327" s="89" t="s">
        <v>1461</v>
      </c>
      <c r="K327" s="89" t="s">
        <v>1462</v>
      </c>
      <c r="L327" s="64"/>
      <c r="M327" s="67" t="s">
        <v>45</v>
      </c>
      <c r="N327" s="67" t="s">
        <v>68</v>
      </c>
      <c r="O327" s="65" t="s">
        <v>1457</v>
      </c>
      <c r="P327" s="65" t="s">
        <v>1458</v>
      </c>
      <c r="Q327" s="67" t="s">
        <v>1459</v>
      </c>
      <c r="R327" s="64"/>
    </row>
    <row r="328">
      <c r="A328" s="67" t="s">
        <v>45</v>
      </c>
      <c r="B328" s="67" t="s">
        <v>68</v>
      </c>
      <c r="C328" s="65" t="s">
        <v>1457</v>
      </c>
      <c r="D328" s="65" t="s">
        <v>1458</v>
      </c>
      <c r="E328" s="67" t="s">
        <v>1459</v>
      </c>
      <c r="F328" s="64"/>
      <c r="G328" s="68">
        <v>1.0</v>
      </c>
      <c r="H328" s="67" t="s">
        <v>1201</v>
      </c>
      <c r="I328" s="89" t="s">
        <v>1463</v>
      </c>
      <c r="J328" s="89" t="s">
        <v>1461</v>
      </c>
      <c r="K328" s="89" t="s">
        <v>1462</v>
      </c>
      <c r="L328" s="64"/>
      <c r="M328" s="68">
        <v>1.0</v>
      </c>
      <c r="N328" s="67" t="s">
        <v>1202</v>
      </c>
      <c r="O328" s="89" t="s">
        <v>1463</v>
      </c>
      <c r="P328" s="89" t="s">
        <v>1461</v>
      </c>
      <c r="Q328" s="89" t="s">
        <v>1462</v>
      </c>
      <c r="R328" s="64"/>
    </row>
    <row r="329">
      <c r="A329" s="68">
        <v>1.0</v>
      </c>
      <c r="B329" s="67" t="s">
        <v>1204</v>
      </c>
      <c r="C329" s="89" t="s">
        <v>1401</v>
      </c>
      <c r="D329" s="89" t="s">
        <v>1461</v>
      </c>
      <c r="E329" s="89" t="s">
        <v>1462</v>
      </c>
      <c r="F329" s="64"/>
      <c r="G329" s="68">
        <v>1.0</v>
      </c>
      <c r="H329" s="67" t="s">
        <v>1205</v>
      </c>
      <c r="I329" s="89" t="s">
        <v>1463</v>
      </c>
      <c r="J329" s="89" t="s">
        <v>1461</v>
      </c>
      <c r="K329" s="89" t="s">
        <v>1462</v>
      </c>
      <c r="L329" s="64"/>
      <c r="M329" s="68">
        <v>1.0</v>
      </c>
      <c r="N329" s="67" t="s">
        <v>1206</v>
      </c>
      <c r="O329" s="89" t="s">
        <v>1463</v>
      </c>
      <c r="P329" s="89" t="s">
        <v>1461</v>
      </c>
      <c r="Q329" s="89" t="s">
        <v>1462</v>
      </c>
      <c r="R329" s="64"/>
    </row>
    <row r="330">
      <c r="A330" s="68">
        <v>5.0</v>
      </c>
      <c r="B330" s="67" t="s">
        <v>1208</v>
      </c>
      <c r="C330" s="89" t="s">
        <v>1401</v>
      </c>
      <c r="D330" s="89" t="s">
        <v>1461</v>
      </c>
      <c r="E330" s="89" t="s">
        <v>1462</v>
      </c>
      <c r="F330" s="64"/>
      <c r="G330" s="68">
        <v>1.0</v>
      </c>
      <c r="H330" s="67" t="s">
        <v>1209</v>
      </c>
      <c r="I330" s="89" t="s">
        <v>1463</v>
      </c>
      <c r="J330" s="89" t="s">
        <v>1461</v>
      </c>
      <c r="K330" s="89" t="s">
        <v>1462</v>
      </c>
      <c r="L330" s="64"/>
      <c r="M330" s="68">
        <v>1.0</v>
      </c>
      <c r="N330" s="67" t="s">
        <v>1210</v>
      </c>
      <c r="O330" s="89" t="s">
        <v>1463</v>
      </c>
      <c r="P330" s="89" t="s">
        <v>1461</v>
      </c>
      <c r="Q330" s="89" t="s">
        <v>1462</v>
      </c>
      <c r="R330" s="64"/>
    </row>
    <row r="331">
      <c r="A331" s="68">
        <v>1.0</v>
      </c>
      <c r="B331" s="67" t="s">
        <v>1212</v>
      </c>
      <c r="C331" s="89" t="s">
        <v>1401</v>
      </c>
      <c r="D331" s="89" t="s">
        <v>1461</v>
      </c>
      <c r="E331" s="89" t="s">
        <v>1462</v>
      </c>
      <c r="F331" s="64"/>
      <c r="G331" s="64"/>
      <c r="H331" s="64"/>
      <c r="I331" s="64"/>
      <c r="J331" s="64"/>
      <c r="K331" s="64"/>
      <c r="L331" s="64"/>
      <c r="M331" s="68">
        <v>1.0</v>
      </c>
      <c r="N331" s="67" t="s">
        <v>1213</v>
      </c>
      <c r="O331" s="89" t="s">
        <v>1463</v>
      </c>
      <c r="P331" s="89" t="s">
        <v>1461</v>
      </c>
      <c r="Q331" s="89" t="s">
        <v>1462</v>
      </c>
      <c r="R331" s="64"/>
    </row>
    <row r="332">
      <c r="A332" s="68">
        <v>1.0</v>
      </c>
      <c r="B332" s="67" t="s">
        <v>1215</v>
      </c>
      <c r="C332" s="89" t="s">
        <v>1401</v>
      </c>
      <c r="D332" s="89" t="s">
        <v>1461</v>
      </c>
      <c r="E332" s="89" t="s">
        <v>1462</v>
      </c>
      <c r="F332" s="64"/>
      <c r="G332" s="64" t="s">
        <v>1216</v>
      </c>
      <c r="I332" s="64"/>
      <c r="J332" s="64"/>
      <c r="K332" s="64"/>
      <c r="L332" s="64"/>
      <c r="M332" s="68">
        <v>1.0</v>
      </c>
      <c r="N332" s="67" t="s">
        <v>1217</v>
      </c>
      <c r="O332" s="89" t="s">
        <v>1463</v>
      </c>
      <c r="P332" s="89" t="s">
        <v>1461</v>
      </c>
      <c r="Q332" s="89" t="s">
        <v>1462</v>
      </c>
      <c r="R332" s="64"/>
    </row>
    <row r="333">
      <c r="A333" s="68">
        <v>1.0</v>
      </c>
      <c r="B333" s="67" t="s">
        <v>1219</v>
      </c>
      <c r="C333" s="89" t="s">
        <v>1401</v>
      </c>
      <c r="D333" s="89" t="s">
        <v>1461</v>
      </c>
      <c r="E333" s="89" t="s">
        <v>1462</v>
      </c>
      <c r="F333" s="64"/>
      <c r="G333" s="67" t="s">
        <v>45</v>
      </c>
      <c r="H333" s="67" t="s">
        <v>68</v>
      </c>
      <c r="I333" s="65" t="s">
        <v>1457</v>
      </c>
      <c r="J333" s="65" t="s">
        <v>1458</v>
      </c>
      <c r="K333" s="67" t="s">
        <v>1459</v>
      </c>
      <c r="L333" s="64"/>
      <c r="M333" s="68">
        <v>1.0</v>
      </c>
      <c r="N333" s="67" t="s">
        <v>1220</v>
      </c>
      <c r="O333" s="89" t="s">
        <v>1463</v>
      </c>
      <c r="P333" s="89" t="s">
        <v>1461</v>
      </c>
      <c r="Q333" s="89" t="s">
        <v>1462</v>
      </c>
      <c r="R333" s="64"/>
    </row>
    <row r="334">
      <c r="A334" s="68">
        <v>1.0</v>
      </c>
      <c r="B334" s="67" t="s">
        <v>1222</v>
      </c>
      <c r="C334" s="89" t="s">
        <v>1401</v>
      </c>
      <c r="D334" s="89" t="s">
        <v>1461</v>
      </c>
      <c r="E334" s="89" t="s">
        <v>1462</v>
      </c>
      <c r="F334" s="64"/>
      <c r="G334" s="68">
        <v>1.0</v>
      </c>
      <c r="H334" s="67" t="s">
        <v>1223</v>
      </c>
      <c r="I334" s="89" t="s">
        <v>1463</v>
      </c>
      <c r="J334" s="89" t="s">
        <v>1461</v>
      </c>
      <c r="K334" s="89" t="s">
        <v>1462</v>
      </c>
      <c r="L334" s="64"/>
      <c r="M334" s="68">
        <v>1.0</v>
      </c>
      <c r="N334" s="67" t="s">
        <v>1225</v>
      </c>
      <c r="O334" s="89" t="s">
        <v>1463</v>
      </c>
      <c r="P334" s="89" t="s">
        <v>1461</v>
      </c>
      <c r="Q334" s="89" t="s">
        <v>1462</v>
      </c>
      <c r="R334" s="64"/>
    </row>
    <row r="335">
      <c r="A335" s="68">
        <v>1.0</v>
      </c>
      <c r="B335" s="67" t="s">
        <v>1227</v>
      </c>
      <c r="C335" s="89" t="s">
        <v>1401</v>
      </c>
      <c r="D335" s="89" t="s">
        <v>1461</v>
      </c>
      <c r="E335" s="89" t="s">
        <v>1462</v>
      </c>
      <c r="F335" s="64"/>
      <c r="G335" s="68">
        <v>1.0</v>
      </c>
      <c r="H335" s="67" t="s">
        <v>1228</v>
      </c>
      <c r="I335" s="89" t="s">
        <v>1463</v>
      </c>
      <c r="J335" s="89" t="s">
        <v>1461</v>
      </c>
      <c r="K335" s="89" t="s">
        <v>1462</v>
      </c>
      <c r="L335" s="64"/>
      <c r="M335" s="68">
        <v>1.0</v>
      </c>
      <c r="N335" s="67" t="s">
        <v>1230</v>
      </c>
      <c r="O335" s="89" t="s">
        <v>1463</v>
      </c>
      <c r="P335" s="89" t="s">
        <v>1461</v>
      </c>
      <c r="Q335" s="89" t="s">
        <v>1462</v>
      </c>
      <c r="R335" s="64"/>
    </row>
    <row r="336">
      <c r="A336" s="64"/>
      <c r="B336" s="64"/>
      <c r="C336" s="64"/>
      <c r="D336" s="64"/>
      <c r="E336" s="64"/>
      <c r="F336" s="64"/>
      <c r="G336" s="68">
        <v>1.0</v>
      </c>
      <c r="H336" s="67" t="s">
        <v>1232</v>
      </c>
      <c r="I336" s="89" t="s">
        <v>1463</v>
      </c>
      <c r="J336" s="89" t="s">
        <v>1461</v>
      </c>
      <c r="K336" s="89" t="s">
        <v>1462</v>
      </c>
      <c r="L336" s="64"/>
      <c r="M336" s="68">
        <v>1.0</v>
      </c>
      <c r="N336" s="67" t="s">
        <v>1234</v>
      </c>
      <c r="O336" s="89" t="s">
        <v>1463</v>
      </c>
      <c r="P336" s="89" t="s">
        <v>1461</v>
      </c>
      <c r="Q336" s="89" t="s">
        <v>1462</v>
      </c>
      <c r="R336" s="64"/>
    </row>
    <row r="337">
      <c r="A337" s="64" t="s">
        <v>1236</v>
      </c>
      <c r="C337" s="64"/>
      <c r="D337" s="64"/>
      <c r="E337" s="64"/>
      <c r="F337" s="64"/>
      <c r="G337" s="68">
        <v>1.0</v>
      </c>
      <c r="H337" s="67" t="s">
        <v>1237</v>
      </c>
      <c r="I337" s="89" t="s">
        <v>1463</v>
      </c>
      <c r="J337" s="89" t="s">
        <v>1461</v>
      </c>
      <c r="K337" s="89" t="s">
        <v>1462</v>
      </c>
      <c r="L337" s="64"/>
      <c r="M337" s="68">
        <v>1.0</v>
      </c>
      <c r="N337" s="67" t="s">
        <v>1239</v>
      </c>
      <c r="O337" s="89" t="s">
        <v>1463</v>
      </c>
      <c r="P337" s="89" t="s">
        <v>1461</v>
      </c>
      <c r="Q337" s="89" t="s">
        <v>1462</v>
      </c>
      <c r="R337" s="64"/>
    </row>
    <row r="338">
      <c r="A338" s="67" t="s">
        <v>45</v>
      </c>
      <c r="B338" s="67" t="s">
        <v>68</v>
      </c>
      <c r="C338" s="65" t="s">
        <v>1457</v>
      </c>
      <c r="D338" s="65" t="s">
        <v>1458</v>
      </c>
      <c r="E338" s="67" t="s">
        <v>1459</v>
      </c>
      <c r="F338" s="64"/>
      <c r="G338" s="68">
        <v>1.0</v>
      </c>
      <c r="H338" s="67" t="s">
        <v>1241</v>
      </c>
      <c r="I338" s="89" t="s">
        <v>1463</v>
      </c>
      <c r="J338" s="89" t="s">
        <v>1461</v>
      </c>
      <c r="K338" s="89" t="s">
        <v>1462</v>
      </c>
      <c r="L338" s="64"/>
      <c r="M338" s="68">
        <v>1.0</v>
      </c>
      <c r="N338" s="67" t="s">
        <v>1242</v>
      </c>
      <c r="O338" s="89" t="s">
        <v>1463</v>
      </c>
      <c r="P338" s="89" t="s">
        <v>1461</v>
      </c>
      <c r="Q338" s="89" t="s">
        <v>1462</v>
      </c>
      <c r="R338" s="64"/>
    </row>
    <row r="339">
      <c r="A339" s="68">
        <v>1.0</v>
      </c>
      <c r="B339" s="67" t="s">
        <v>1244</v>
      </c>
      <c r="C339" s="89" t="s">
        <v>1463</v>
      </c>
      <c r="D339" s="89" t="s">
        <v>1461</v>
      </c>
      <c r="E339" s="89" t="s">
        <v>1462</v>
      </c>
      <c r="F339" s="64"/>
      <c r="G339" s="68">
        <v>1.0</v>
      </c>
      <c r="H339" s="67" t="s">
        <v>1246</v>
      </c>
      <c r="I339" s="89" t="s">
        <v>1463</v>
      </c>
      <c r="J339" s="89" t="s">
        <v>1461</v>
      </c>
      <c r="K339" s="89" t="s">
        <v>1462</v>
      </c>
      <c r="L339" s="64"/>
      <c r="M339" s="68">
        <v>1.0</v>
      </c>
      <c r="N339" s="67" t="s">
        <v>1247</v>
      </c>
      <c r="O339" s="89" t="s">
        <v>1463</v>
      </c>
      <c r="P339" s="89" t="s">
        <v>1461</v>
      </c>
      <c r="Q339" s="89" t="s">
        <v>1462</v>
      </c>
      <c r="R339" s="64"/>
    </row>
    <row r="340">
      <c r="A340" s="68">
        <v>1.0</v>
      </c>
      <c r="B340" s="67" t="s">
        <v>1248</v>
      </c>
      <c r="C340" s="89" t="s">
        <v>1463</v>
      </c>
      <c r="D340" s="89" t="s">
        <v>1461</v>
      </c>
      <c r="E340" s="89" t="s">
        <v>1462</v>
      </c>
      <c r="F340" s="64"/>
      <c r="G340" s="68">
        <v>1.0</v>
      </c>
      <c r="H340" s="67" t="s">
        <v>1250</v>
      </c>
      <c r="I340" s="89" t="s">
        <v>1463</v>
      </c>
      <c r="J340" s="89" t="s">
        <v>1461</v>
      </c>
      <c r="K340" s="89" t="s">
        <v>1462</v>
      </c>
      <c r="L340" s="64"/>
      <c r="M340" s="68">
        <v>1.0</v>
      </c>
      <c r="N340" s="67" t="s">
        <v>1228</v>
      </c>
      <c r="O340" s="89" t="s">
        <v>1463</v>
      </c>
      <c r="P340" s="89" t="s">
        <v>1461</v>
      </c>
      <c r="Q340" s="89" t="s">
        <v>1462</v>
      </c>
      <c r="R340" s="64"/>
    </row>
    <row r="341">
      <c r="A341" s="68">
        <v>1.0</v>
      </c>
      <c r="B341" s="67" t="s">
        <v>1252</v>
      </c>
      <c r="C341" s="89" t="s">
        <v>1463</v>
      </c>
      <c r="D341" s="89" t="s">
        <v>1461</v>
      </c>
      <c r="E341" s="89" t="s">
        <v>1462</v>
      </c>
      <c r="F341" s="64"/>
      <c r="G341" s="68">
        <v>1.0</v>
      </c>
      <c r="H341" s="67" t="s">
        <v>1254</v>
      </c>
      <c r="I341" s="89" t="s">
        <v>1463</v>
      </c>
      <c r="J341" s="89" t="s">
        <v>1461</v>
      </c>
      <c r="K341" s="89" t="s">
        <v>1462</v>
      </c>
      <c r="L341" s="64"/>
      <c r="M341" s="68">
        <v>1.0</v>
      </c>
      <c r="N341" s="67" t="s">
        <v>1232</v>
      </c>
      <c r="O341" s="89" t="s">
        <v>1463</v>
      </c>
      <c r="P341" s="89" t="s">
        <v>1461</v>
      </c>
      <c r="Q341" s="89" t="s">
        <v>1462</v>
      </c>
      <c r="R341" s="64"/>
    </row>
    <row r="342">
      <c r="A342" s="68">
        <v>1.0</v>
      </c>
      <c r="B342" s="67" t="s">
        <v>1255</v>
      </c>
      <c r="C342" s="89" t="s">
        <v>1463</v>
      </c>
      <c r="D342" s="89" t="s">
        <v>1461</v>
      </c>
      <c r="E342" s="89" t="s">
        <v>1462</v>
      </c>
      <c r="F342" s="64"/>
      <c r="G342" s="68">
        <v>1.0</v>
      </c>
      <c r="H342" s="67" t="s">
        <v>1257</v>
      </c>
      <c r="I342" s="89" t="s">
        <v>1463</v>
      </c>
      <c r="J342" s="89" t="s">
        <v>1461</v>
      </c>
      <c r="K342" s="89" t="s">
        <v>1462</v>
      </c>
      <c r="L342" s="64"/>
      <c r="M342" s="68">
        <v>1.0</v>
      </c>
      <c r="N342" s="67" t="s">
        <v>1258</v>
      </c>
      <c r="O342" s="89" t="s">
        <v>1463</v>
      </c>
      <c r="P342" s="89" t="s">
        <v>1461</v>
      </c>
      <c r="Q342" s="89" t="s">
        <v>1462</v>
      </c>
      <c r="R342" s="64"/>
    </row>
    <row r="343">
      <c r="A343" s="68">
        <v>1.0</v>
      </c>
      <c r="B343" s="67" t="s">
        <v>1259</v>
      </c>
      <c r="C343" s="89" t="s">
        <v>1463</v>
      </c>
      <c r="D343" s="89" t="s">
        <v>1461</v>
      </c>
      <c r="E343" s="89" t="s">
        <v>1462</v>
      </c>
      <c r="F343" s="64"/>
      <c r="G343" s="68">
        <v>1.0</v>
      </c>
      <c r="H343" s="67" t="s">
        <v>1261</v>
      </c>
      <c r="I343" s="89" t="s">
        <v>1463</v>
      </c>
      <c r="J343" s="89" t="s">
        <v>1461</v>
      </c>
      <c r="K343" s="89" t="s">
        <v>1462</v>
      </c>
      <c r="L343" s="64"/>
      <c r="M343" s="68">
        <v>1.0</v>
      </c>
      <c r="N343" s="67" t="s">
        <v>1262</v>
      </c>
      <c r="O343" s="89" t="s">
        <v>1463</v>
      </c>
      <c r="P343" s="89" t="s">
        <v>1461</v>
      </c>
      <c r="Q343" s="89" t="s">
        <v>1462</v>
      </c>
      <c r="R343" s="64"/>
    </row>
    <row r="344">
      <c r="A344" s="68">
        <v>1.0</v>
      </c>
      <c r="B344" s="67" t="s">
        <v>1264</v>
      </c>
      <c r="C344" s="89" t="s">
        <v>1463</v>
      </c>
      <c r="D344" s="89" t="s">
        <v>1461</v>
      </c>
      <c r="E344" s="89" t="s">
        <v>1462</v>
      </c>
      <c r="F344" s="64"/>
      <c r="G344" s="68">
        <v>1.0</v>
      </c>
      <c r="H344" s="67" t="s">
        <v>1266</v>
      </c>
      <c r="I344" s="89" t="s">
        <v>1463</v>
      </c>
      <c r="J344" s="89" t="s">
        <v>1461</v>
      </c>
      <c r="K344" s="89" t="s">
        <v>1462</v>
      </c>
      <c r="L344" s="64"/>
      <c r="M344" s="68">
        <v>1.0</v>
      </c>
      <c r="N344" s="67" t="s">
        <v>1267</v>
      </c>
      <c r="O344" s="89" t="s">
        <v>1463</v>
      </c>
      <c r="P344" s="89" t="s">
        <v>1461</v>
      </c>
      <c r="Q344" s="89" t="s">
        <v>1462</v>
      </c>
      <c r="R344" s="64"/>
    </row>
    <row r="345">
      <c r="A345" s="68">
        <v>1.0</v>
      </c>
      <c r="B345" s="67" t="s">
        <v>1268</v>
      </c>
      <c r="C345" s="89" t="s">
        <v>1463</v>
      </c>
      <c r="D345" s="89" t="s">
        <v>1461</v>
      </c>
      <c r="E345" s="89" t="s">
        <v>1462</v>
      </c>
      <c r="F345" s="64"/>
      <c r="G345" s="68">
        <v>1.0</v>
      </c>
      <c r="H345" s="67" t="s">
        <v>1270</v>
      </c>
      <c r="I345" s="89" t="s">
        <v>1463</v>
      </c>
      <c r="J345" s="89" t="s">
        <v>1461</v>
      </c>
      <c r="K345" s="89" t="s">
        <v>1462</v>
      </c>
      <c r="L345" s="64"/>
      <c r="M345" s="68">
        <v>1.0</v>
      </c>
      <c r="N345" s="67" t="s">
        <v>1237</v>
      </c>
      <c r="O345" s="89" t="s">
        <v>1463</v>
      </c>
      <c r="P345" s="89" t="s">
        <v>1461</v>
      </c>
      <c r="Q345" s="89" t="s">
        <v>1462</v>
      </c>
      <c r="R345" s="64"/>
    </row>
    <row r="346">
      <c r="A346" s="68">
        <v>1.0</v>
      </c>
      <c r="B346" s="67" t="s">
        <v>1271</v>
      </c>
      <c r="C346" s="89" t="s">
        <v>1463</v>
      </c>
      <c r="D346" s="89" t="s">
        <v>1461</v>
      </c>
      <c r="E346" s="89" t="s">
        <v>1462</v>
      </c>
      <c r="F346" s="64"/>
      <c r="G346" s="68">
        <v>1.0</v>
      </c>
      <c r="H346" s="67" t="s">
        <v>1273</v>
      </c>
      <c r="I346" s="89" t="s">
        <v>1463</v>
      </c>
      <c r="J346" s="89" t="s">
        <v>1461</v>
      </c>
      <c r="K346" s="89" t="s">
        <v>1462</v>
      </c>
      <c r="L346" s="64"/>
      <c r="M346" s="68">
        <v>1.0</v>
      </c>
      <c r="N346" s="67" t="s">
        <v>1274</v>
      </c>
      <c r="O346" s="89" t="s">
        <v>1463</v>
      </c>
      <c r="P346" s="89" t="s">
        <v>1461</v>
      </c>
      <c r="Q346" s="89" t="s">
        <v>1462</v>
      </c>
      <c r="R346" s="64"/>
    </row>
    <row r="347">
      <c r="A347" s="68">
        <v>1.0</v>
      </c>
      <c r="B347" s="67" t="s">
        <v>1275</v>
      </c>
      <c r="C347" s="89" t="s">
        <v>1463</v>
      </c>
      <c r="D347" s="89" t="s">
        <v>1461</v>
      </c>
      <c r="E347" s="89" t="s">
        <v>1462</v>
      </c>
      <c r="F347" s="64"/>
      <c r="G347" s="68">
        <v>1.0</v>
      </c>
      <c r="H347" s="67" t="s">
        <v>1277</v>
      </c>
      <c r="I347" s="89" t="s">
        <v>1463</v>
      </c>
      <c r="J347" s="89" t="s">
        <v>1461</v>
      </c>
      <c r="K347" s="89" t="s">
        <v>1462</v>
      </c>
      <c r="L347" s="64"/>
      <c r="M347" s="68">
        <v>1.0</v>
      </c>
      <c r="N347" s="67" t="s">
        <v>1241</v>
      </c>
      <c r="O347" s="89" t="s">
        <v>1463</v>
      </c>
      <c r="P347" s="89" t="s">
        <v>1461</v>
      </c>
      <c r="Q347" s="89" t="s">
        <v>1462</v>
      </c>
      <c r="R347" s="64"/>
    </row>
    <row r="348">
      <c r="A348" s="68">
        <v>1.0</v>
      </c>
      <c r="B348" s="67" t="s">
        <v>1279</v>
      </c>
      <c r="C348" s="89" t="s">
        <v>1463</v>
      </c>
      <c r="D348" s="89" t="s">
        <v>1461</v>
      </c>
      <c r="E348" s="89" t="s">
        <v>1462</v>
      </c>
      <c r="F348" s="64"/>
      <c r="G348" s="64"/>
      <c r="H348" s="64"/>
      <c r="I348" s="64"/>
      <c r="J348" s="64"/>
      <c r="K348" s="64"/>
      <c r="L348" s="64"/>
      <c r="M348" s="68">
        <v>1.0</v>
      </c>
      <c r="N348" s="67" t="s">
        <v>1281</v>
      </c>
      <c r="O348" s="89" t="s">
        <v>1463</v>
      </c>
      <c r="P348" s="89" t="s">
        <v>1461</v>
      </c>
      <c r="Q348" s="89" t="s">
        <v>1462</v>
      </c>
      <c r="R348" s="64"/>
    </row>
    <row r="349">
      <c r="A349" s="68">
        <v>1.0</v>
      </c>
      <c r="B349" s="67" t="s">
        <v>1283</v>
      </c>
      <c r="C349" s="89" t="s">
        <v>1463</v>
      </c>
      <c r="D349" s="89" t="s">
        <v>1461</v>
      </c>
      <c r="E349" s="89" t="s">
        <v>1462</v>
      </c>
      <c r="F349" s="64"/>
      <c r="G349" s="64"/>
      <c r="H349" s="64"/>
      <c r="I349" s="64"/>
      <c r="J349" s="64"/>
      <c r="K349" s="64"/>
      <c r="L349" s="64"/>
      <c r="M349" s="68">
        <v>1.0</v>
      </c>
      <c r="N349" s="67" t="s">
        <v>1284</v>
      </c>
      <c r="O349" s="89" t="s">
        <v>1463</v>
      </c>
      <c r="P349" s="89" t="s">
        <v>1461</v>
      </c>
      <c r="Q349" s="89" t="s">
        <v>1462</v>
      </c>
      <c r="R349" s="64"/>
    </row>
    <row r="350">
      <c r="A350" s="68">
        <v>1.0</v>
      </c>
      <c r="B350" s="67" t="s">
        <v>1286</v>
      </c>
      <c r="C350" s="89" t="s">
        <v>1463</v>
      </c>
      <c r="D350" s="89" t="s">
        <v>1461</v>
      </c>
      <c r="E350" s="89" t="s">
        <v>1462</v>
      </c>
      <c r="F350" s="64"/>
      <c r="G350" s="64"/>
      <c r="H350" s="64"/>
      <c r="I350" s="64"/>
      <c r="J350" s="64"/>
      <c r="K350" s="64"/>
      <c r="L350" s="64"/>
      <c r="M350" s="68">
        <v>1.0</v>
      </c>
      <c r="N350" s="67" t="s">
        <v>1288</v>
      </c>
      <c r="O350" s="89" t="s">
        <v>1463</v>
      </c>
      <c r="P350" s="89" t="s">
        <v>1461</v>
      </c>
      <c r="Q350" s="89" t="s">
        <v>1462</v>
      </c>
      <c r="R350" s="64"/>
    </row>
    <row r="351">
      <c r="A351" s="68">
        <v>1.0</v>
      </c>
      <c r="B351" s="67" t="s">
        <v>1289</v>
      </c>
      <c r="C351" s="89" t="s">
        <v>1463</v>
      </c>
      <c r="D351" s="89" t="s">
        <v>1461</v>
      </c>
      <c r="E351" s="89" t="s">
        <v>1462</v>
      </c>
      <c r="F351" s="64"/>
      <c r="G351" s="64"/>
      <c r="H351" s="64"/>
      <c r="I351" s="64"/>
      <c r="J351" s="64"/>
      <c r="K351" s="64"/>
      <c r="L351" s="64"/>
      <c r="M351" s="68">
        <v>1.0</v>
      </c>
      <c r="N351" s="67" t="s">
        <v>1246</v>
      </c>
      <c r="O351" s="89" t="s">
        <v>1463</v>
      </c>
      <c r="P351" s="89" t="s">
        <v>1461</v>
      </c>
      <c r="Q351" s="89" t="s">
        <v>1462</v>
      </c>
      <c r="R351" s="64"/>
    </row>
    <row r="352">
      <c r="A352" s="68">
        <v>1.0</v>
      </c>
      <c r="B352" s="67" t="s">
        <v>1292</v>
      </c>
      <c r="C352" s="89" t="s">
        <v>1463</v>
      </c>
      <c r="D352" s="89" t="s">
        <v>1461</v>
      </c>
      <c r="E352" s="89" t="s">
        <v>1462</v>
      </c>
      <c r="F352" s="64"/>
      <c r="G352" s="64"/>
      <c r="H352" s="64"/>
      <c r="I352" s="64"/>
      <c r="J352" s="64"/>
      <c r="K352" s="64"/>
      <c r="L352" s="64"/>
      <c r="M352" s="68">
        <v>1.0</v>
      </c>
      <c r="N352" s="67" t="s">
        <v>1294</v>
      </c>
      <c r="O352" s="89" t="s">
        <v>1463</v>
      </c>
      <c r="P352" s="89" t="s">
        <v>1461</v>
      </c>
      <c r="Q352" s="89" t="s">
        <v>1462</v>
      </c>
      <c r="R352" s="64"/>
    </row>
    <row r="353">
      <c r="A353" s="68">
        <v>1.0</v>
      </c>
      <c r="B353" s="67" t="s">
        <v>1295</v>
      </c>
      <c r="C353" s="89" t="s">
        <v>1463</v>
      </c>
      <c r="D353" s="89" t="s">
        <v>1461</v>
      </c>
      <c r="E353" s="89" t="s">
        <v>1462</v>
      </c>
      <c r="F353" s="64"/>
      <c r="G353" s="64"/>
      <c r="H353" s="64"/>
      <c r="I353" s="64"/>
      <c r="J353" s="64"/>
      <c r="K353" s="64"/>
      <c r="L353" s="64"/>
      <c r="M353" s="68">
        <v>1.0</v>
      </c>
      <c r="N353" s="67" t="s">
        <v>1254</v>
      </c>
      <c r="O353" s="89" t="s">
        <v>1463</v>
      </c>
      <c r="P353" s="89" t="s">
        <v>1461</v>
      </c>
      <c r="Q353" s="89" t="s">
        <v>1462</v>
      </c>
      <c r="R353" s="64"/>
    </row>
    <row r="354">
      <c r="A354" s="68">
        <v>1.0</v>
      </c>
      <c r="B354" s="67" t="s">
        <v>1296</v>
      </c>
      <c r="C354" s="89" t="s">
        <v>1463</v>
      </c>
      <c r="D354" s="89" t="s">
        <v>1461</v>
      </c>
      <c r="E354" s="89" t="s">
        <v>1462</v>
      </c>
      <c r="F354" s="64"/>
      <c r="G354" s="64"/>
      <c r="H354" s="64"/>
      <c r="I354" s="64"/>
      <c r="J354" s="64"/>
      <c r="K354" s="64"/>
      <c r="L354" s="64"/>
      <c r="M354" s="68">
        <v>1.0</v>
      </c>
      <c r="N354" s="67" t="s">
        <v>1298</v>
      </c>
      <c r="O354" s="89" t="s">
        <v>1463</v>
      </c>
      <c r="P354" s="89" t="s">
        <v>1461</v>
      </c>
      <c r="Q354" s="89" t="s">
        <v>1462</v>
      </c>
      <c r="R354" s="64"/>
    </row>
    <row r="355">
      <c r="A355" s="68">
        <v>1.0</v>
      </c>
      <c r="B355" s="67" t="s">
        <v>1299</v>
      </c>
      <c r="C355" s="89" t="s">
        <v>1463</v>
      </c>
      <c r="D355" s="89" t="s">
        <v>1461</v>
      </c>
      <c r="E355" s="89" t="s">
        <v>1462</v>
      </c>
      <c r="F355" s="64"/>
      <c r="G355" s="64"/>
      <c r="H355" s="64"/>
      <c r="I355" s="64"/>
      <c r="J355" s="64"/>
      <c r="K355" s="64"/>
      <c r="L355" s="64"/>
      <c r="M355" s="68">
        <v>1.0</v>
      </c>
      <c r="N355" s="67" t="s">
        <v>1301</v>
      </c>
      <c r="O355" s="89" t="s">
        <v>1463</v>
      </c>
      <c r="P355" s="89" t="s">
        <v>1461</v>
      </c>
      <c r="Q355" s="89" t="s">
        <v>1462</v>
      </c>
      <c r="R355" s="64"/>
    </row>
    <row r="356">
      <c r="A356" s="68">
        <v>1.0</v>
      </c>
      <c r="B356" s="67" t="s">
        <v>1302</v>
      </c>
      <c r="C356" s="89" t="s">
        <v>1463</v>
      </c>
      <c r="D356" s="89" t="s">
        <v>1461</v>
      </c>
      <c r="E356" s="89" t="s">
        <v>1462</v>
      </c>
      <c r="F356" s="64"/>
      <c r="G356" s="64"/>
      <c r="H356" s="64"/>
      <c r="I356" s="64"/>
      <c r="J356" s="64"/>
      <c r="K356" s="64"/>
      <c r="L356" s="64"/>
      <c r="M356" s="68">
        <v>1.0</v>
      </c>
      <c r="N356" s="67" t="s">
        <v>1303</v>
      </c>
      <c r="O356" s="89" t="s">
        <v>1463</v>
      </c>
      <c r="P356" s="89" t="s">
        <v>1461</v>
      </c>
      <c r="Q356" s="89" t="s">
        <v>1462</v>
      </c>
      <c r="R356" s="64"/>
    </row>
    <row r="357">
      <c r="A357" s="68">
        <v>1.0</v>
      </c>
      <c r="B357" s="67" t="s">
        <v>1304</v>
      </c>
      <c r="C357" s="89" t="s">
        <v>1463</v>
      </c>
      <c r="D357" s="89" t="s">
        <v>1461</v>
      </c>
      <c r="E357" s="89" t="s">
        <v>1462</v>
      </c>
      <c r="F357" s="64"/>
      <c r="G357" s="64"/>
      <c r="H357" s="64"/>
      <c r="I357" s="64"/>
      <c r="J357" s="64"/>
      <c r="K357" s="64"/>
      <c r="L357" s="64"/>
      <c r="M357" s="68">
        <v>1.0</v>
      </c>
      <c r="N357" s="67" t="s">
        <v>1306</v>
      </c>
      <c r="O357" s="89" t="s">
        <v>1463</v>
      </c>
      <c r="P357" s="89" t="s">
        <v>1461</v>
      </c>
      <c r="Q357" s="89" t="s">
        <v>1462</v>
      </c>
      <c r="R357" s="64"/>
    </row>
    <row r="358">
      <c r="A358" s="68">
        <v>1.0</v>
      </c>
      <c r="B358" s="67" t="s">
        <v>1307</v>
      </c>
      <c r="C358" s="89" t="s">
        <v>1463</v>
      </c>
      <c r="D358" s="89" t="s">
        <v>1461</v>
      </c>
      <c r="E358" s="89" t="s">
        <v>1462</v>
      </c>
      <c r="F358" s="64"/>
      <c r="G358" s="64"/>
      <c r="H358" s="64"/>
      <c r="I358" s="64"/>
      <c r="J358" s="64"/>
      <c r="K358" s="64"/>
      <c r="L358" s="64"/>
      <c r="M358" s="68">
        <v>1.0</v>
      </c>
      <c r="N358" s="67" t="s">
        <v>1257</v>
      </c>
      <c r="O358" s="89" t="s">
        <v>1463</v>
      </c>
      <c r="P358" s="89" t="s">
        <v>1461</v>
      </c>
      <c r="Q358" s="89" t="s">
        <v>1462</v>
      </c>
      <c r="R358" s="64"/>
    </row>
    <row r="359">
      <c r="A359" s="68">
        <v>1.0</v>
      </c>
      <c r="B359" s="67" t="s">
        <v>1309</v>
      </c>
      <c r="C359" s="89" t="s">
        <v>1463</v>
      </c>
      <c r="D359" s="89" t="s">
        <v>1461</v>
      </c>
      <c r="E359" s="89" t="s">
        <v>1462</v>
      </c>
      <c r="F359" s="64"/>
      <c r="G359" s="64"/>
      <c r="H359" s="64"/>
      <c r="I359" s="64"/>
      <c r="J359" s="64"/>
      <c r="K359" s="64"/>
      <c r="L359" s="64"/>
      <c r="M359" s="68">
        <v>1.0</v>
      </c>
      <c r="N359" s="67" t="s">
        <v>1261</v>
      </c>
      <c r="O359" s="89" t="s">
        <v>1463</v>
      </c>
      <c r="P359" s="89" t="s">
        <v>1461</v>
      </c>
      <c r="Q359" s="89" t="s">
        <v>1462</v>
      </c>
      <c r="R359" s="64"/>
    </row>
    <row r="360">
      <c r="A360" s="68">
        <v>1.0</v>
      </c>
      <c r="B360" s="67" t="s">
        <v>1311</v>
      </c>
      <c r="C360" s="89" t="s">
        <v>1463</v>
      </c>
      <c r="D360" s="89" t="s">
        <v>1461</v>
      </c>
      <c r="E360" s="89" t="s">
        <v>1462</v>
      </c>
      <c r="F360" s="64"/>
      <c r="G360" s="64"/>
      <c r="H360" s="64"/>
      <c r="I360" s="64"/>
      <c r="J360" s="64"/>
      <c r="K360" s="64"/>
      <c r="L360" s="64"/>
      <c r="M360" s="68">
        <v>1.0</v>
      </c>
      <c r="N360" s="67" t="s">
        <v>1313</v>
      </c>
      <c r="O360" s="89" t="s">
        <v>1463</v>
      </c>
      <c r="P360" s="89" t="s">
        <v>1461</v>
      </c>
      <c r="Q360" s="89" t="s">
        <v>1462</v>
      </c>
      <c r="R360" s="64"/>
    </row>
    <row r="361">
      <c r="A361" s="68">
        <v>1.0</v>
      </c>
      <c r="B361" s="67" t="s">
        <v>1314</v>
      </c>
      <c r="C361" s="89" t="s">
        <v>1463</v>
      </c>
      <c r="D361" s="89" t="s">
        <v>1461</v>
      </c>
      <c r="E361" s="89" t="s">
        <v>1462</v>
      </c>
      <c r="F361" s="64"/>
      <c r="G361" s="64"/>
      <c r="H361" s="64"/>
      <c r="I361" s="64"/>
      <c r="J361" s="64"/>
      <c r="K361" s="64"/>
      <c r="L361" s="64"/>
      <c r="M361" s="68">
        <v>1.0</v>
      </c>
      <c r="N361" s="67" t="s">
        <v>1316</v>
      </c>
      <c r="O361" s="89" t="s">
        <v>1463</v>
      </c>
      <c r="P361" s="89" t="s">
        <v>1461</v>
      </c>
      <c r="Q361" s="89" t="s">
        <v>1462</v>
      </c>
      <c r="R361" s="64"/>
    </row>
    <row r="362">
      <c r="A362" s="68">
        <v>1.0</v>
      </c>
      <c r="B362" s="67" t="s">
        <v>1317</v>
      </c>
      <c r="C362" s="89" t="s">
        <v>1463</v>
      </c>
      <c r="D362" s="89" t="s">
        <v>1461</v>
      </c>
      <c r="E362" s="89" t="s">
        <v>1462</v>
      </c>
      <c r="F362" s="64"/>
      <c r="G362" s="64"/>
      <c r="H362" s="64"/>
      <c r="I362" s="64"/>
      <c r="J362" s="64"/>
      <c r="K362" s="64"/>
      <c r="L362" s="64"/>
      <c r="M362" s="68">
        <v>1.0</v>
      </c>
      <c r="N362" s="67" t="s">
        <v>1319</v>
      </c>
      <c r="O362" s="89" t="s">
        <v>1463</v>
      </c>
      <c r="P362" s="89" t="s">
        <v>1461</v>
      </c>
      <c r="Q362" s="89" t="s">
        <v>1462</v>
      </c>
      <c r="R362" s="64"/>
    </row>
    <row r="363">
      <c r="A363" s="68">
        <v>1.0</v>
      </c>
      <c r="B363" s="67" t="s">
        <v>1320</v>
      </c>
      <c r="C363" s="89" t="s">
        <v>1463</v>
      </c>
      <c r="D363" s="89" t="s">
        <v>1461</v>
      </c>
      <c r="E363" s="89" t="s">
        <v>1462</v>
      </c>
      <c r="F363" s="64"/>
      <c r="G363" s="64"/>
      <c r="H363" s="64"/>
      <c r="I363" s="64"/>
      <c r="J363" s="64"/>
      <c r="K363" s="64"/>
      <c r="L363" s="64"/>
      <c r="M363" s="68">
        <v>1.0</v>
      </c>
      <c r="N363" s="67" t="s">
        <v>1321</v>
      </c>
      <c r="O363" s="89" t="s">
        <v>1463</v>
      </c>
      <c r="P363" s="89" t="s">
        <v>1461</v>
      </c>
      <c r="Q363" s="89" t="s">
        <v>1462</v>
      </c>
      <c r="R363" s="64"/>
    </row>
    <row r="364">
      <c r="A364" s="68">
        <v>1.0</v>
      </c>
      <c r="B364" s="67" t="s">
        <v>1322</v>
      </c>
      <c r="C364" s="89" t="s">
        <v>1463</v>
      </c>
      <c r="D364" s="89" t="s">
        <v>1461</v>
      </c>
      <c r="E364" s="89" t="s">
        <v>1462</v>
      </c>
      <c r="F364" s="64"/>
      <c r="G364" s="64"/>
      <c r="H364" s="64"/>
      <c r="I364" s="64"/>
      <c r="J364" s="64"/>
      <c r="K364" s="64"/>
      <c r="L364" s="64"/>
      <c r="M364" s="68">
        <v>1.0</v>
      </c>
      <c r="N364" s="67" t="s">
        <v>1323</v>
      </c>
      <c r="O364" s="89" t="s">
        <v>1463</v>
      </c>
      <c r="P364" s="89" t="s">
        <v>1461</v>
      </c>
      <c r="Q364" s="89" t="s">
        <v>1462</v>
      </c>
      <c r="R364" s="64"/>
    </row>
    <row r="365">
      <c r="A365" s="68">
        <v>1.0</v>
      </c>
      <c r="B365" s="67" t="s">
        <v>1324</v>
      </c>
      <c r="C365" s="89" t="s">
        <v>1463</v>
      </c>
      <c r="D365" s="89" t="s">
        <v>1461</v>
      </c>
      <c r="E365" s="89" t="s">
        <v>1462</v>
      </c>
      <c r="F365" s="64"/>
      <c r="G365" s="64"/>
      <c r="H365" s="64"/>
      <c r="I365" s="64"/>
      <c r="J365" s="64"/>
      <c r="K365" s="64"/>
      <c r="L365" s="64"/>
      <c r="M365" s="68">
        <v>1.0</v>
      </c>
      <c r="N365" s="67" t="s">
        <v>1325</v>
      </c>
      <c r="O365" s="89" t="s">
        <v>1463</v>
      </c>
      <c r="P365" s="89" t="s">
        <v>1461</v>
      </c>
      <c r="Q365" s="89" t="s">
        <v>1462</v>
      </c>
      <c r="R365" s="64"/>
    </row>
    <row r="366">
      <c r="A366" s="68">
        <v>1.0</v>
      </c>
      <c r="B366" s="67" t="s">
        <v>1326</v>
      </c>
      <c r="C366" s="89" t="s">
        <v>1463</v>
      </c>
      <c r="D366" s="89" t="s">
        <v>1461</v>
      </c>
      <c r="E366" s="89" t="s">
        <v>1462</v>
      </c>
      <c r="F366" s="64"/>
      <c r="G366" s="64"/>
      <c r="H366" s="64"/>
      <c r="I366" s="64"/>
      <c r="J366" s="64"/>
      <c r="K366" s="64"/>
      <c r="L366" s="64"/>
      <c r="M366" s="68">
        <v>1.0</v>
      </c>
      <c r="N366" s="67" t="s">
        <v>1327</v>
      </c>
      <c r="O366" s="89" t="s">
        <v>1463</v>
      </c>
      <c r="P366" s="89" t="s">
        <v>1461</v>
      </c>
      <c r="Q366" s="89" t="s">
        <v>1462</v>
      </c>
      <c r="R366" s="64"/>
    </row>
    <row r="367">
      <c r="A367" s="68">
        <v>1.0</v>
      </c>
      <c r="B367" s="67" t="s">
        <v>1328</v>
      </c>
      <c r="C367" s="89" t="s">
        <v>1463</v>
      </c>
      <c r="D367" s="89" t="s">
        <v>1461</v>
      </c>
      <c r="E367" s="89" t="s">
        <v>1462</v>
      </c>
      <c r="F367" s="64"/>
      <c r="G367" s="64"/>
      <c r="H367" s="64"/>
      <c r="I367" s="64"/>
      <c r="J367" s="64"/>
      <c r="K367" s="64"/>
      <c r="L367" s="64"/>
      <c r="M367" s="68">
        <v>1.0</v>
      </c>
      <c r="N367" s="67" t="s">
        <v>1329</v>
      </c>
      <c r="O367" s="89" t="s">
        <v>1463</v>
      </c>
      <c r="P367" s="89" t="s">
        <v>1461</v>
      </c>
      <c r="Q367" s="89" t="s">
        <v>1462</v>
      </c>
      <c r="R367" s="64"/>
    </row>
    <row r="368">
      <c r="A368" s="68">
        <v>1.0</v>
      </c>
      <c r="B368" s="67" t="s">
        <v>1330</v>
      </c>
      <c r="C368" s="89" t="s">
        <v>1463</v>
      </c>
      <c r="D368" s="89" t="s">
        <v>1461</v>
      </c>
      <c r="E368" s="89" t="s">
        <v>1462</v>
      </c>
      <c r="F368" s="64"/>
      <c r="G368" s="64"/>
      <c r="H368" s="64"/>
      <c r="I368" s="64"/>
      <c r="J368" s="64"/>
      <c r="K368" s="64"/>
      <c r="L368" s="64"/>
      <c r="M368" s="68">
        <v>1.0</v>
      </c>
      <c r="N368" s="67" t="s">
        <v>1331</v>
      </c>
      <c r="O368" s="89" t="s">
        <v>1463</v>
      </c>
      <c r="P368" s="89" t="s">
        <v>1461</v>
      </c>
      <c r="Q368" s="89" t="s">
        <v>1462</v>
      </c>
      <c r="R368" s="64"/>
    </row>
    <row r="369">
      <c r="A369" s="68">
        <v>1.0</v>
      </c>
      <c r="B369" s="67" t="s">
        <v>1332</v>
      </c>
      <c r="C369" s="89" t="s">
        <v>1463</v>
      </c>
      <c r="D369" s="89" t="s">
        <v>1461</v>
      </c>
      <c r="E369" s="89" t="s">
        <v>1462</v>
      </c>
      <c r="F369" s="64"/>
      <c r="G369" s="64"/>
      <c r="H369" s="64"/>
      <c r="I369" s="64"/>
      <c r="J369" s="64"/>
      <c r="K369" s="64"/>
      <c r="L369" s="64"/>
      <c r="M369" s="68">
        <v>1.0</v>
      </c>
      <c r="N369" s="67" t="s">
        <v>1333</v>
      </c>
      <c r="O369" s="89" t="s">
        <v>1463</v>
      </c>
      <c r="P369" s="89" t="s">
        <v>1461</v>
      </c>
      <c r="Q369" s="89" t="s">
        <v>1462</v>
      </c>
      <c r="R369" s="64"/>
    </row>
    <row r="370">
      <c r="A370" s="68">
        <v>1.0</v>
      </c>
      <c r="B370" s="67" t="s">
        <v>1334</v>
      </c>
      <c r="C370" s="89" t="s">
        <v>1463</v>
      </c>
      <c r="D370" s="89" t="s">
        <v>1461</v>
      </c>
      <c r="E370" s="89" t="s">
        <v>1462</v>
      </c>
      <c r="F370" s="64"/>
      <c r="G370" s="64"/>
      <c r="H370" s="64"/>
      <c r="I370" s="64"/>
      <c r="J370" s="64"/>
      <c r="K370" s="64"/>
      <c r="L370" s="64"/>
      <c r="M370" s="68">
        <v>1.0</v>
      </c>
      <c r="N370" s="67" t="s">
        <v>1270</v>
      </c>
      <c r="O370" s="89" t="s">
        <v>1463</v>
      </c>
      <c r="P370" s="89" t="s">
        <v>1461</v>
      </c>
      <c r="Q370" s="89" t="s">
        <v>1462</v>
      </c>
      <c r="R370" s="64"/>
    </row>
    <row r="371">
      <c r="A371" s="68">
        <v>1.0</v>
      </c>
      <c r="B371" s="67" t="s">
        <v>1335</v>
      </c>
      <c r="C371" s="89" t="s">
        <v>1463</v>
      </c>
      <c r="D371" s="89" t="s">
        <v>1461</v>
      </c>
      <c r="E371" s="89" t="s">
        <v>1462</v>
      </c>
      <c r="F371" s="64"/>
      <c r="G371" s="64"/>
      <c r="H371" s="64"/>
      <c r="I371" s="64"/>
      <c r="J371" s="64"/>
      <c r="K371" s="64"/>
      <c r="L371" s="64"/>
      <c r="M371" s="68">
        <v>1.0</v>
      </c>
      <c r="N371" s="67" t="s">
        <v>1273</v>
      </c>
      <c r="O371" s="89" t="s">
        <v>1463</v>
      </c>
      <c r="P371" s="89" t="s">
        <v>1461</v>
      </c>
      <c r="Q371" s="89" t="s">
        <v>1462</v>
      </c>
      <c r="R371" s="64"/>
    </row>
    <row r="372">
      <c r="A372" s="68">
        <v>1.0</v>
      </c>
      <c r="B372" s="67" t="s">
        <v>1336</v>
      </c>
      <c r="C372" s="89" t="s">
        <v>1463</v>
      </c>
      <c r="D372" s="89" t="s">
        <v>1461</v>
      </c>
      <c r="E372" s="89" t="s">
        <v>1462</v>
      </c>
      <c r="F372" s="64"/>
      <c r="G372" s="64"/>
      <c r="H372" s="64"/>
      <c r="I372" s="64"/>
      <c r="J372" s="64"/>
      <c r="K372" s="64"/>
      <c r="L372" s="64"/>
      <c r="M372" s="68">
        <v>1.0</v>
      </c>
      <c r="N372" s="67" t="s">
        <v>1337</v>
      </c>
      <c r="O372" s="89" t="s">
        <v>1463</v>
      </c>
      <c r="P372" s="89" t="s">
        <v>1461</v>
      </c>
      <c r="Q372" s="89" t="s">
        <v>1462</v>
      </c>
      <c r="R372" s="64"/>
    </row>
    <row r="373">
      <c r="A373" s="68">
        <v>1.0</v>
      </c>
      <c r="B373" s="67" t="s">
        <v>1338</v>
      </c>
      <c r="C373" s="89" t="s">
        <v>1463</v>
      </c>
      <c r="D373" s="89" t="s">
        <v>1461</v>
      </c>
      <c r="E373" s="89" t="s">
        <v>1462</v>
      </c>
      <c r="F373" s="64"/>
      <c r="G373" s="64"/>
      <c r="H373" s="64"/>
      <c r="I373" s="64"/>
      <c r="J373" s="64"/>
      <c r="K373" s="64"/>
      <c r="L373" s="64"/>
      <c r="M373" s="68">
        <v>1.0</v>
      </c>
      <c r="N373" s="67" t="s">
        <v>1339</v>
      </c>
      <c r="O373" s="89" t="s">
        <v>1463</v>
      </c>
      <c r="P373" s="89" t="s">
        <v>1461</v>
      </c>
      <c r="Q373" s="89" t="s">
        <v>1462</v>
      </c>
      <c r="R373" s="64"/>
    </row>
    <row r="374">
      <c r="A374" s="68">
        <v>1.0</v>
      </c>
      <c r="B374" s="67" t="s">
        <v>1340</v>
      </c>
      <c r="C374" s="89" t="s">
        <v>1463</v>
      </c>
      <c r="D374" s="89" t="s">
        <v>1461</v>
      </c>
      <c r="E374" s="89" t="s">
        <v>1462</v>
      </c>
      <c r="F374" s="64"/>
      <c r="G374" s="64"/>
      <c r="H374" s="64"/>
      <c r="I374" s="64"/>
      <c r="J374" s="64"/>
      <c r="K374" s="64"/>
      <c r="L374" s="64"/>
      <c r="M374" s="68">
        <v>1.0</v>
      </c>
      <c r="N374" s="67" t="s">
        <v>1341</v>
      </c>
      <c r="O374" s="89" t="s">
        <v>1463</v>
      </c>
      <c r="P374" s="89" t="s">
        <v>1461</v>
      </c>
      <c r="Q374" s="89" t="s">
        <v>1462</v>
      </c>
      <c r="R374" s="64"/>
    </row>
    <row r="375">
      <c r="A375" s="68">
        <v>1.0</v>
      </c>
      <c r="B375" s="67" t="s">
        <v>1342</v>
      </c>
      <c r="C375" s="89" t="s">
        <v>1463</v>
      </c>
      <c r="D375" s="89" t="s">
        <v>1461</v>
      </c>
      <c r="E375" s="89" t="s">
        <v>1462</v>
      </c>
      <c r="F375" s="64"/>
      <c r="G375" s="64"/>
      <c r="H375" s="64"/>
      <c r="I375" s="64"/>
      <c r="J375" s="64"/>
      <c r="K375" s="64"/>
      <c r="L375" s="64"/>
      <c r="M375" s="68">
        <v>1.0</v>
      </c>
      <c r="N375" s="67" t="s">
        <v>1343</v>
      </c>
      <c r="O375" s="89" t="s">
        <v>1463</v>
      </c>
      <c r="P375" s="89" t="s">
        <v>1461</v>
      </c>
      <c r="Q375" s="89" t="s">
        <v>1462</v>
      </c>
      <c r="R375" s="64"/>
    </row>
    <row r="376">
      <c r="A376" s="68">
        <v>1.0</v>
      </c>
      <c r="B376" s="67" t="s">
        <v>1344</v>
      </c>
      <c r="C376" s="89" t="s">
        <v>1463</v>
      </c>
      <c r="D376" s="89" t="s">
        <v>1461</v>
      </c>
      <c r="E376" s="89" t="s">
        <v>1462</v>
      </c>
      <c r="F376" s="64"/>
      <c r="G376" s="64"/>
      <c r="H376" s="64"/>
      <c r="I376" s="64"/>
      <c r="J376" s="64"/>
      <c r="K376" s="64"/>
      <c r="L376" s="64"/>
      <c r="M376" s="68">
        <v>1.0</v>
      </c>
      <c r="N376" s="67" t="s">
        <v>1277</v>
      </c>
      <c r="O376" s="89" t="s">
        <v>1463</v>
      </c>
      <c r="P376" s="89" t="s">
        <v>1461</v>
      </c>
      <c r="Q376" s="89" t="s">
        <v>1462</v>
      </c>
      <c r="R376" s="64"/>
    </row>
    <row r="377">
      <c r="A377" s="68">
        <v>1.0</v>
      </c>
      <c r="B377" s="67" t="s">
        <v>1345</v>
      </c>
      <c r="C377" s="89" t="s">
        <v>1463</v>
      </c>
      <c r="D377" s="89" t="s">
        <v>1461</v>
      </c>
      <c r="E377" s="89" t="s">
        <v>1462</v>
      </c>
      <c r="F377" s="64"/>
      <c r="G377" s="64"/>
      <c r="H377" s="64"/>
      <c r="I377" s="64"/>
      <c r="J377" s="64"/>
      <c r="K377" s="64"/>
      <c r="L377" s="64"/>
      <c r="M377" s="68">
        <v>1.0</v>
      </c>
      <c r="N377" s="67" t="s">
        <v>1346</v>
      </c>
      <c r="O377" s="89" t="s">
        <v>1463</v>
      </c>
      <c r="P377" s="89" t="s">
        <v>1461</v>
      </c>
      <c r="Q377" s="89" t="s">
        <v>1462</v>
      </c>
      <c r="R377" s="64"/>
    </row>
    <row r="378">
      <c r="A378" s="68">
        <v>1.0</v>
      </c>
      <c r="B378" s="67" t="s">
        <v>1347</v>
      </c>
      <c r="C378" s="89" t="s">
        <v>1463</v>
      </c>
      <c r="D378" s="89" t="s">
        <v>1461</v>
      </c>
      <c r="E378" s="89" t="s">
        <v>1462</v>
      </c>
      <c r="F378" s="64"/>
      <c r="G378" s="64"/>
      <c r="H378" s="64"/>
      <c r="I378" s="64"/>
      <c r="J378" s="64"/>
      <c r="K378" s="64"/>
      <c r="L378" s="64"/>
      <c r="M378" s="68">
        <v>1.0</v>
      </c>
      <c r="N378" s="67" t="s">
        <v>1348</v>
      </c>
      <c r="O378" s="89" t="s">
        <v>1463</v>
      </c>
      <c r="P378" s="89" t="s">
        <v>1461</v>
      </c>
      <c r="Q378" s="89" t="s">
        <v>1462</v>
      </c>
      <c r="R378" s="64"/>
    </row>
    <row r="379">
      <c r="A379" s="68">
        <v>1.0</v>
      </c>
      <c r="B379" s="67" t="s">
        <v>1349</v>
      </c>
      <c r="C379" s="89" t="s">
        <v>1463</v>
      </c>
      <c r="D379" s="89" t="s">
        <v>1461</v>
      </c>
      <c r="E379" s="89" t="s">
        <v>1462</v>
      </c>
      <c r="F379" s="64"/>
      <c r="G379" s="64"/>
      <c r="H379" s="64"/>
      <c r="I379" s="64"/>
      <c r="J379" s="64"/>
      <c r="K379" s="64"/>
      <c r="L379" s="64"/>
      <c r="M379" s="68">
        <v>1.0</v>
      </c>
      <c r="N379" s="67" t="s">
        <v>1350</v>
      </c>
      <c r="O379" s="89" t="s">
        <v>1463</v>
      </c>
      <c r="P379" s="89" t="s">
        <v>1461</v>
      </c>
      <c r="Q379" s="89" t="s">
        <v>1462</v>
      </c>
      <c r="R379" s="64"/>
    </row>
    <row r="380">
      <c r="A380" s="68">
        <v>1.0</v>
      </c>
      <c r="B380" s="67" t="s">
        <v>1351</v>
      </c>
      <c r="C380" s="89" t="s">
        <v>1463</v>
      </c>
      <c r="D380" s="89" t="s">
        <v>1461</v>
      </c>
      <c r="E380" s="89" t="s">
        <v>1462</v>
      </c>
      <c r="F380" s="64"/>
      <c r="G380" s="64"/>
      <c r="H380" s="64"/>
      <c r="I380" s="64"/>
      <c r="J380" s="64"/>
      <c r="K380" s="64"/>
      <c r="L380" s="64"/>
      <c r="M380" s="68">
        <v>1.0</v>
      </c>
      <c r="N380" s="67" t="s">
        <v>1352</v>
      </c>
      <c r="O380" s="89" t="s">
        <v>1463</v>
      </c>
      <c r="P380" s="89" t="s">
        <v>1461</v>
      </c>
      <c r="Q380" s="89" t="s">
        <v>1462</v>
      </c>
      <c r="R380" s="64"/>
    </row>
    <row r="381">
      <c r="A381" s="68">
        <v>1.0</v>
      </c>
      <c r="B381" s="67" t="s">
        <v>1354</v>
      </c>
      <c r="C381" s="89" t="s">
        <v>1463</v>
      </c>
      <c r="D381" s="89" t="s">
        <v>1461</v>
      </c>
      <c r="E381" s="89" t="s">
        <v>1462</v>
      </c>
      <c r="F381" s="64"/>
      <c r="G381" s="64"/>
      <c r="H381" s="64"/>
      <c r="I381" s="64"/>
      <c r="J381" s="64"/>
      <c r="K381" s="64"/>
      <c r="L381" s="64"/>
      <c r="M381" s="68">
        <v>1.0</v>
      </c>
      <c r="N381" s="67" t="s">
        <v>1355</v>
      </c>
      <c r="O381" s="89" t="s">
        <v>1463</v>
      </c>
      <c r="P381" s="89" t="s">
        <v>1461</v>
      </c>
      <c r="Q381" s="89" t="s">
        <v>1462</v>
      </c>
      <c r="R381" s="64"/>
    </row>
    <row r="382">
      <c r="A382" s="68">
        <v>1.0</v>
      </c>
      <c r="B382" s="67" t="s">
        <v>1356</v>
      </c>
      <c r="C382" s="89" t="s">
        <v>1463</v>
      </c>
      <c r="D382" s="89" t="s">
        <v>1461</v>
      </c>
      <c r="E382" s="89" t="s">
        <v>1462</v>
      </c>
      <c r="F382" s="64"/>
      <c r="G382" s="64"/>
      <c r="H382" s="64"/>
      <c r="I382" s="64"/>
      <c r="J382" s="64"/>
      <c r="K382" s="64"/>
      <c r="L382" s="64"/>
      <c r="M382" s="68">
        <v>1.0</v>
      </c>
      <c r="N382" s="67" t="s">
        <v>1357</v>
      </c>
      <c r="O382" s="89" t="s">
        <v>1463</v>
      </c>
      <c r="P382" s="89" t="s">
        <v>1461</v>
      </c>
      <c r="Q382" s="89" t="s">
        <v>1462</v>
      </c>
      <c r="R382" s="64"/>
    </row>
    <row r="383">
      <c r="A383" s="68">
        <v>1.0</v>
      </c>
      <c r="B383" s="67" t="s">
        <v>1358</v>
      </c>
      <c r="C383" s="89" t="s">
        <v>1463</v>
      </c>
      <c r="D383" s="89" t="s">
        <v>1461</v>
      </c>
      <c r="E383" s="89" t="s">
        <v>1462</v>
      </c>
      <c r="F383" s="64"/>
      <c r="G383" s="64"/>
      <c r="H383" s="64"/>
      <c r="I383" s="64"/>
      <c r="J383" s="64"/>
      <c r="K383" s="64"/>
      <c r="L383" s="64"/>
      <c r="M383" s="68">
        <v>1.0</v>
      </c>
      <c r="N383" s="67" t="s">
        <v>1360</v>
      </c>
      <c r="O383" s="89" t="s">
        <v>1463</v>
      </c>
      <c r="P383" s="89" t="s">
        <v>1461</v>
      </c>
      <c r="Q383" s="89" t="s">
        <v>1462</v>
      </c>
      <c r="R383" s="64"/>
    </row>
    <row r="384">
      <c r="A384" s="68">
        <v>1.0</v>
      </c>
      <c r="B384" s="67" t="s">
        <v>1362</v>
      </c>
      <c r="C384" s="89" t="s">
        <v>1463</v>
      </c>
      <c r="D384" s="89" t="s">
        <v>1461</v>
      </c>
      <c r="E384" s="89" t="s">
        <v>1462</v>
      </c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</row>
    <row r="385">
      <c r="A385" s="68">
        <v>1.0</v>
      </c>
      <c r="B385" s="67" t="s">
        <v>1364</v>
      </c>
      <c r="C385" s="89" t="s">
        <v>1463</v>
      </c>
      <c r="D385" s="89" t="s">
        <v>1461</v>
      </c>
      <c r="E385" s="89" t="s">
        <v>1462</v>
      </c>
      <c r="F385" s="64"/>
      <c r="G385" s="64"/>
      <c r="H385" s="64"/>
      <c r="I385" s="64"/>
      <c r="J385" s="64"/>
      <c r="K385" s="64"/>
      <c r="L385" s="64"/>
      <c r="M385" s="71" t="s">
        <v>1368</v>
      </c>
      <c r="R385" s="64"/>
    </row>
    <row r="386">
      <c r="A386" s="68">
        <v>1.0</v>
      </c>
      <c r="B386" s="67" t="s">
        <v>1365</v>
      </c>
      <c r="C386" s="89" t="s">
        <v>1463</v>
      </c>
      <c r="D386" s="89" t="s">
        <v>1461</v>
      </c>
      <c r="E386" s="89" t="s">
        <v>1462</v>
      </c>
      <c r="F386" s="64"/>
      <c r="G386" s="64"/>
      <c r="H386" s="64"/>
      <c r="I386" s="64"/>
      <c r="J386" s="64"/>
      <c r="K386" s="64"/>
      <c r="L386" s="64"/>
      <c r="M386" s="67" t="s">
        <v>45</v>
      </c>
      <c r="N386" s="67" t="s">
        <v>68</v>
      </c>
      <c r="O386" s="65" t="s">
        <v>1457</v>
      </c>
      <c r="P386" s="65" t="s">
        <v>1458</v>
      </c>
      <c r="Q386" s="67" t="s">
        <v>1459</v>
      </c>
      <c r="R386" s="64"/>
    </row>
    <row r="387">
      <c r="A387" s="68">
        <v>2.0</v>
      </c>
      <c r="B387" s="67" t="s">
        <v>1366</v>
      </c>
      <c r="C387" s="89" t="s">
        <v>1463</v>
      </c>
      <c r="D387" s="89" t="s">
        <v>1461</v>
      </c>
      <c r="E387" s="89" t="s">
        <v>1462</v>
      </c>
      <c r="F387" s="64"/>
      <c r="G387" s="64"/>
      <c r="H387" s="64"/>
      <c r="I387" s="64"/>
      <c r="J387" s="64"/>
      <c r="K387" s="64"/>
      <c r="L387" s="64"/>
      <c r="M387" s="13">
        <v>16.0</v>
      </c>
      <c r="N387" s="13" t="s">
        <v>1372</v>
      </c>
      <c r="O387" s="89" t="s">
        <v>1470</v>
      </c>
      <c r="P387" s="89" t="s">
        <v>1471</v>
      </c>
      <c r="Q387" s="89" t="s">
        <v>1462</v>
      </c>
      <c r="R387" s="64"/>
    </row>
    <row r="388">
      <c r="A388" s="68">
        <v>1.0</v>
      </c>
      <c r="B388" s="67" t="s">
        <v>1369</v>
      </c>
      <c r="C388" s="89" t="s">
        <v>1463</v>
      </c>
      <c r="D388" s="89" t="s">
        <v>1461</v>
      </c>
      <c r="E388" s="89" t="s">
        <v>1462</v>
      </c>
      <c r="F388" s="64"/>
      <c r="G388" s="64"/>
      <c r="H388" s="64"/>
      <c r="I388" s="64"/>
      <c r="J388" s="64"/>
      <c r="K388" s="64"/>
      <c r="L388" s="64"/>
      <c r="M388" s="13">
        <v>2.0</v>
      </c>
      <c r="N388" s="13" t="s">
        <v>1375</v>
      </c>
      <c r="O388" s="89" t="s">
        <v>1470</v>
      </c>
      <c r="P388" s="89" t="s">
        <v>1471</v>
      </c>
      <c r="Q388" s="89" t="s">
        <v>1462</v>
      </c>
      <c r="R388" s="64"/>
    </row>
    <row r="389">
      <c r="A389" s="68">
        <v>1.0</v>
      </c>
      <c r="B389" s="67" t="s">
        <v>1370</v>
      </c>
      <c r="C389" s="89" t="s">
        <v>1463</v>
      </c>
      <c r="D389" s="89" t="s">
        <v>1461</v>
      </c>
      <c r="E389" s="89" t="s">
        <v>1462</v>
      </c>
      <c r="F389" s="64"/>
      <c r="G389" s="64"/>
      <c r="H389" s="64"/>
      <c r="I389" s="64"/>
      <c r="J389" s="64"/>
      <c r="K389" s="64"/>
      <c r="L389" s="64"/>
      <c r="M389" s="13">
        <v>1.0</v>
      </c>
      <c r="N389" s="13" t="s">
        <v>1378</v>
      </c>
      <c r="O389" s="89" t="s">
        <v>1470</v>
      </c>
      <c r="P389" s="89" t="s">
        <v>1471</v>
      </c>
      <c r="Q389" s="89" t="s">
        <v>1462</v>
      </c>
      <c r="R389" s="64"/>
    </row>
    <row r="390">
      <c r="A390" s="68">
        <v>1.0</v>
      </c>
      <c r="B390" s="67" t="s">
        <v>1374</v>
      </c>
      <c r="C390" s="89" t="s">
        <v>1463</v>
      </c>
      <c r="D390" s="89" t="s">
        <v>1461</v>
      </c>
      <c r="E390" s="89" t="s">
        <v>1462</v>
      </c>
      <c r="F390" s="64"/>
      <c r="G390" s="64"/>
      <c r="H390" s="64"/>
      <c r="I390" s="64"/>
      <c r="J390" s="64"/>
      <c r="K390" s="64"/>
      <c r="L390" s="64"/>
      <c r="M390" s="13">
        <v>1.0</v>
      </c>
      <c r="N390" s="13" t="s">
        <v>1381</v>
      </c>
      <c r="O390" s="89" t="s">
        <v>1470</v>
      </c>
      <c r="P390" s="89" t="s">
        <v>1471</v>
      </c>
      <c r="Q390" s="89" t="s">
        <v>1462</v>
      </c>
      <c r="R390" s="64"/>
    </row>
    <row r="391">
      <c r="A391" s="68">
        <v>1.0</v>
      </c>
      <c r="B391" s="67" t="s">
        <v>1377</v>
      </c>
      <c r="C391" s="89" t="s">
        <v>1463</v>
      </c>
      <c r="D391" s="89" t="s">
        <v>1461</v>
      </c>
      <c r="E391" s="89" t="s">
        <v>1462</v>
      </c>
      <c r="F391" s="64"/>
      <c r="G391" s="64"/>
      <c r="H391" s="64"/>
      <c r="I391" s="64"/>
      <c r="J391" s="64"/>
      <c r="K391" s="64"/>
      <c r="L391" s="64"/>
      <c r="M391" s="13">
        <v>2.0</v>
      </c>
      <c r="N391" s="13" t="s">
        <v>1384</v>
      </c>
      <c r="O391" s="89" t="s">
        <v>1470</v>
      </c>
      <c r="P391" s="89" t="s">
        <v>1471</v>
      </c>
      <c r="Q391" s="89" t="s">
        <v>1462</v>
      </c>
      <c r="R391" s="64"/>
    </row>
    <row r="392">
      <c r="A392" s="68">
        <v>1.0</v>
      </c>
      <c r="B392" s="67" t="s">
        <v>1380</v>
      </c>
      <c r="C392" s="89" t="s">
        <v>1463</v>
      </c>
      <c r="D392" s="89" t="s">
        <v>1461</v>
      </c>
      <c r="E392" s="89" t="s">
        <v>1462</v>
      </c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</row>
    <row r="393">
      <c r="A393" s="68">
        <v>1.0</v>
      </c>
      <c r="B393" s="67" t="s">
        <v>1383</v>
      </c>
      <c r="C393" s="89" t="s">
        <v>1463</v>
      </c>
      <c r="D393" s="89" t="s">
        <v>1461</v>
      </c>
      <c r="E393" s="89" t="s">
        <v>1462</v>
      </c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>
      <c r="A394" s="68">
        <v>1.0</v>
      </c>
      <c r="B394" s="67" t="s">
        <v>1386</v>
      </c>
      <c r="C394" s="89" t="s">
        <v>1463</v>
      </c>
      <c r="D394" s="89" t="s">
        <v>1461</v>
      </c>
      <c r="E394" s="89" t="s">
        <v>1462</v>
      </c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</row>
    <row r="397">
      <c r="A397" s="64" t="s">
        <v>1389</v>
      </c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>
      <c r="A398" s="67" t="s">
        <v>45</v>
      </c>
      <c r="B398" s="67" t="s">
        <v>68</v>
      </c>
      <c r="C398" s="65" t="s">
        <v>1457</v>
      </c>
      <c r="D398" s="65" t="s">
        <v>1458</v>
      </c>
      <c r="E398" s="67" t="s">
        <v>1459</v>
      </c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</row>
    <row r="399">
      <c r="A399" s="68">
        <v>1.0</v>
      </c>
      <c r="B399" s="67" t="s">
        <v>1390</v>
      </c>
      <c r="C399" s="89" t="s">
        <v>1463</v>
      </c>
      <c r="D399" s="89" t="s">
        <v>1461</v>
      </c>
      <c r="E399" s="89" t="s">
        <v>1462</v>
      </c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</row>
    <row r="400">
      <c r="A400" s="68">
        <v>1.0</v>
      </c>
      <c r="B400" s="67" t="s">
        <v>1392</v>
      </c>
      <c r="C400" s="89" t="s">
        <v>1463</v>
      </c>
      <c r="D400" s="89" t="s">
        <v>1461</v>
      </c>
      <c r="E400" s="89" t="s">
        <v>1462</v>
      </c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</row>
    <row r="401">
      <c r="A401" s="68">
        <v>1.0</v>
      </c>
      <c r="B401" s="67" t="s">
        <v>1394</v>
      </c>
      <c r="C401" s="89" t="s">
        <v>1463</v>
      </c>
      <c r="D401" s="89" t="s">
        <v>1461</v>
      </c>
      <c r="E401" s="89" t="s">
        <v>1462</v>
      </c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>
      <c r="A402" s="68">
        <v>1.0</v>
      </c>
      <c r="B402" s="67" t="s">
        <v>1396</v>
      </c>
      <c r="C402" s="89" t="s">
        <v>1463</v>
      </c>
      <c r="D402" s="89" t="s">
        <v>1461</v>
      </c>
      <c r="E402" s="89" t="s">
        <v>1462</v>
      </c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</row>
  </sheetData>
  <mergeCells count="50">
    <mergeCell ref="A5:B5"/>
    <mergeCell ref="G5:H5"/>
    <mergeCell ref="M5:N5"/>
    <mergeCell ref="A10:B10"/>
    <mergeCell ref="A18:B18"/>
    <mergeCell ref="M23:N23"/>
    <mergeCell ref="A39:B39"/>
    <mergeCell ref="G36:H36"/>
    <mergeCell ref="G51:H51"/>
    <mergeCell ref="A61:B61"/>
    <mergeCell ref="A68:B68"/>
    <mergeCell ref="A77:B77"/>
    <mergeCell ref="A81:B81"/>
    <mergeCell ref="G93:H93"/>
    <mergeCell ref="M198:N198"/>
    <mergeCell ref="M216:N216"/>
    <mergeCell ref="M245:N245"/>
    <mergeCell ref="M294:N294"/>
    <mergeCell ref="M304:N304"/>
    <mergeCell ref="M326:N326"/>
    <mergeCell ref="M385:Q385"/>
    <mergeCell ref="M59:N59"/>
    <mergeCell ref="M92:N92"/>
    <mergeCell ref="M126:N126"/>
    <mergeCell ref="M130:N130"/>
    <mergeCell ref="M182:N182"/>
    <mergeCell ref="M186:N186"/>
    <mergeCell ref="M191:N191"/>
    <mergeCell ref="A222:B222"/>
    <mergeCell ref="A261:B261"/>
    <mergeCell ref="A301:B301"/>
    <mergeCell ref="A327:B327"/>
    <mergeCell ref="A337:B337"/>
    <mergeCell ref="A397:B397"/>
    <mergeCell ref="A88:B88"/>
    <mergeCell ref="A96:B96"/>
    <mergeCell ref="A103:B103"/>
    <mergeCell ref="A108:B108"/>
    <mergeCell ref="A129:B129"/>
    <mergeCell ref="A143:B143"/>
    <mergeCell ref="A184:B184"/>
    <mergeCell ref="G300:H300"/>
    <mergeCell ref="G332:H332"/>
    <mergeCell ref="G105:H105"/>
    <mergeCell ref="G113:H113"/>
    <mergeCell ref="G121:H121"/>
    <mergeCell ref="G199:H199"/>
    <mergeCell ref="G204:H204"/>
    <mergeCell ref="G211:H211"/>
    <mergeCell ref="G273:H2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67.0"/>
    <col customWidth="1" min="3" max="3" width="55.25"/>
    <col customWidth="1" min="4" max="4" width="102.88"/>
    <col customWidth="1" min="5" max="5" width="60.25"/>
    <col customWidth="1" min="9" max="9" width="22.5"/>
    <col customWidth="1" min="10" max="10" width="20.38"/>
    <col customWidth="1" min="11" max="11" width="34.38"/>
  </cols>
  <sheetData>
    <row r="1">
      <c r="A1" s="16"/>
      <c r="B1" s="116" t="s">
        <v>1472</v>
      </c>
      <c r="C1" s="117"/>
      <c r="D1" s="118"/>
      <c r="E1" s="12"/>
    </row>
    <row r="2">
      <c r="A2" s="16" t="s">
        <v>46</v>
      </c>
      <c r="B2" s="16" t="s">
        <v>1473</v>
      </c>
      <c r="C2" s="16" t="s">
        <v>1474</v>
      </c>
      <c r="D2" s="16" t="s">
        <v>1475</v>
      </c>
      <c r="E2" s="12"/>
      <c r="I2" s="9" t="s">
        <v>1476</v>
      </c>
      <c r="J2" s="9" t="s">
        <v>1477</v>
      </c>
    </row>
    <row r="3">
      <c r="A3" s="21" t="s">
        <v>58</v>
      </c>
      <c r="B3" s="21"/>
      <c r="C3" s="39"/>
      <c r="D3" s="21"/>
      <c r="E3" s="12"/>
      <c r="I3" s="9" t="s">
        <v>1478</v>
      </c>
      <c r="J3" s="9" t="s">
        <v>1479</v>
      </c>
    </row>
    <row r="4">
      <c r="A4" s="13" t="s">
        <v>62</v>
      </c>
      <c r="B4" s="16" t="s">
        <v>1480</v>
      </c>
      <c r="C4" s="16"/>
      <c r="D4" s="16" t="s">
        <v>1481</v>
      </c>
      <c r="E4" s="12"/>
      <c r="I4" s="9" t="s">
        <v>1482</v>
      </c>
      <c r="J4" s="9" t="s">
        <v>1483</v>
      </c>
    </row>
    <row r="5">
      <c r="A5" s="13" t="s">
        <v>70</v>
      </c>
      <c r="B5" s="16"/>
      <c r="C5" s="18"/>
      <c r="D5" s="16" t="s">
        <v>1484</v>
      </c>
      <c r="E5" s="12"/>
      <c r="F5" s="9"/>
    </row>
    <row r="6">
      <c r="A6" s="13" t="s">
        <v>44</v>
      </c>
      <c r="B6" s="18"/>
      <c r="C6" s="18"/>
      <c r="D6" s="16" t="s">
        <v>1485</v>
      </c>
      <c r="E6" s="119"/>
    </row>
    <row r="7">
      <c r="A7" s="13" t="s">
        <v>85</v>
      </c>
      <c r="B7" s="18"/>
      <c r="C7" s="18"/>
      <c r="D7" s="16" t="s">
        <v>1486</v>
      </c>
      <c r="E7" s="119"/>
    </row>
    <row r="8">
      <c r="A8" s="21" t="s">
        <v>91</v>
      </c>
      <c r="B8" s="39"/>
      <c r="C8" s="39"/>
      <c r="D8" s="39"/>
      <c r="E8" s="119"/>
    </row>
    <row r="9">
      <c r="A9" s="13" t="s">
        <v>95</v>
      </c>
      <c r="B9" s="18"/>
      <c r="C9" s="18"/>
      <c r="D9" s="16" t="s">
        <v>1487</v>
      </c>
      <c r="E9" s="119"/>
    </row>
    <row r="10">
      <c r="A10" s="13" t="s">
        <v>100</v>
      </c>
      <c r="B10" s="120"/>
      <c r="C10" s="120"/>
      <c r="D10" s="121" t="s">
        <v>1488</v>
      </c>
      <c r="E10" s="119"/>
    </row>
    <row r="11">
      <c r="A11" s="122" t="s">
        <v>106</v>
      </c>
      <c r="B11" s="120"/>
      <c r="C11" s="123"/>
      <c r="D11" s="124" t="s">
        <v>1489</v>
      </c>
      <c r="E11" s="119"/>
    </row>
    <row r="12">
      <c r="A12" s="125"/>
      <c r="B12" s="126"/>
      <c r="C12" s="127"/>
      <c r="D12" s="128" t="s">
        <v>1490</v>
      </c>
      <c r="E12" s="119"/>
    </row>
    <row r="13">
      <c r="A13" s="13" t="s">
        <v>112</v>
      </c>
      <c r="B13" s="126"/>
      <c r="C13" s="126"/>
      <c r="D13" s="129" t="s">
        <v>1488</v>
      </c>
      <c r="E13" s="119"/>
    </row>
    <row r="14">
      <c r="A14" s="13" t="s">
        <v>119</v>
      </c>
      <c r="B14" s="18"/>
      <c r="C14" s="18"/>
      <c r="D14" s="16" t="s">
        <v>1491</v>
      </c>
      <c r="E14" s="119"/>
    </row>
    <row r="15">
      <c r="A15" s="13" t="s">
        <v>126</v>
      </c>
      <c r="B15" s="18"/>
      <c r="C15" s="18"/>
      <c r="D15" s="16" t="s">
        <v>1492</v>
      </c>
      <c r="E15" s="119"/>
    </row>
    <row r="16">
      <c r="A16" s="13" t="s">
        <v>134</v>
      </c>
      <c r="B16" s="18"/>
      <c r="C16" s="18"/>
      <c r="D16" s="16" t="s">
        <v>1493</v>
      </c>
      <c r="E16" s="119"/>
    </row>
    <row r="17">
      <c r="A17" s="13" t="s">
        <v>140</v>
      </c>
      <c r="B17" s="18"/>
      <c r="C17" s="18"/>
      <c r="D17" s="16" t="s">
        <v>1494</v>
      </c>
      <c r="E17" s="119"/>
    </row>
    <row r="18">
      <c r="A18" s="21" t="s">
        <v>147</v>
      </c>
      <c r="B18" s="39"/>
      <c r="C18" s="39"/>
      <c r="D18" s="39"/>
      <c r="E18" s="119"/>
    </row>
    <row r="19">
      <c r="A19" s="13" t="s">
        <v>151</v>
      </c>
      <c r="B19" s="18"/>
      <c r="C19" s="18"/>
      <c r="D19" s="16" t="s">
        <v>1495</v>
      </c>
      <c r="E19" s="119"/>
    </row>
    <row r="20">
      <c r="A20" s="13" t="s">
        <v>159</v>
      </c>
      <c r="B20" s="18"/>
      <c r="C20" s="18"/>
      <c r="D20" s="18"/>
      <c r="E20" s="119"/>
    </row>
    <row r="21">
      <c r="A21" s="21" t="s">
        <v>164</v>
      </c>
      <c r="B21" s="39"/>
      <c r="C21" s="39"/>
      <c r="D21" s="39"/>
      <c r="E21" s="119"/>
    </row>
    <row r="22">
      <c r="A22" s="13" t="s">
        <v>169</v>
      </c>
      <c r="B22" s="18"/>
      <c r="C22" s="18"/>
      <c r="D22" s="16" t="s">
        <v>1496</v>
      </c>
      <c r="E22" s="119"/>
    </row>
    <row r="23">
      <c r="A23" s="13" t="s">
        <v>177</v>
      </c>
      <c r="B23" s="18"/>
      <c r="C23" s="18"/>
      <c r="D23" s="16" t="s">
        <v>1497</v>
      </c>
      <c r="E23" s="119"/>
    </row>
    <row r="24">
      <c r="A24" s="13" t="s">
        <v>184</v>
      </c>
      <c r="B24" s="18"/>
      <c r="C24" s="18"/>
      <c r="D24" s="16" t="s">
        <v>1498</v>
      </c>
      <c r="E24" s="119"/>
    </row>
    <row r="25">
      <c r="A25" s="13" t="s">
        <v>192</v>
      </c>
      <c r="B25" s="18"/>
      <c r="C25" s="121" t="s">
        <v>1499</v>
      </c>
      <c r="D25" s="121" t="s">
        <v>1500</v>
      </c>
      <c r="E25" s="119"/>
    </row>
    <row r="26">
      <c r="A26" s="130" t="s">
        <v>199</v>
      </c>
      <c r="B26" s="131" t="s">
        <v>1501</v>
      </c>
      <c r="C26" s="120"/>
      <c r="D26" s="124" t="s">
        <v>1502</v>
      </c>
      <c r="E26" s="119"/>
    </row>
    <row r="27">
      <c r="A27" s="132"/>
      <c r="B27" s="125"/>
      <c r="C27" s="126"/>
      <c r="D27" s="128" t="s">
        <v>1503</v>
      </c>
      <c r="E27" s="119"/>
    </row>
    <row r="28">
      <c r="A28" s="13" t="s">
        <v>206</v>
      </c>
      <c r="B28" s="16" t="s">
        <v>1504</v>
      </c>
      <c r="C28" s="126"/>
      <c r="D28" s="129" t="s">
        <v>1505</v>
      </c>
      <c r="E28" s="119"/>
    </row>
    <row r="29">
      <c r="A29" s="13" t="s">
        <v>214</v>
      </c>
      <c r="B29" s="18"/>
      <c r="C29" s="18"/>
      <c r="D29" s="16" t="s">
        <v>1506</v>
      </c>
      <c r="E29" s="119"/>
    </row>
    <row r="30">
      <c r="A30" s="21" t="s">
        <v>220</v>
      </c>
      <c r="B30" s="39"/>
      <c r="C30" s="39"/>
      <c r="D30" s="39"/>
      <c r="E30" s="119"/>
    </row>
    <row r="31">
      <c r="A31" s="51" t="s">
        <v>225</v>
      </c>
      <c r="B31" s="133"/>
      <c r="C31" s="133"/>
      <c r="D31" s="133"/>
      <c r="E31" s="119"/>
    </row>
    <row r="32">
      <c r="A32" s="58" t="s">
        <v>231</v>
      </c>
      <c r="B32" s="18"/>
      <c r="C32" s="18"/>
      <c r="D32" s="16" t="s">
        <v>1507</v>
      </c>
      <c r="E32" s="119"/>
    </row>
    <row r="33">
      <c r="A33" s="13" t="s">
        <v>238</v>
      </c>
      <c r="B33" s="18"/>
      <c r="C33" s="18"/>
      <c r="D33" s="16" t="s">
        <v>1507</v>
      </c>
      <c r="E33" s="119"/>
    </row>
    <row r="34">
      <c r="A34" s="13" t="s">
        <v>245</v>
      </c>
      <c r="B34" s="18"/>
      <c r="C34" s="18"/>
      <c r="D34" s="16" t="s">
        <v>1507</v>
      </c>
      <c r="E34" s="119"/>
    </row>
    <row r="35">
      <c r="A35" s="13" t="s">
        <v>250</v>
      </c>
      <c r="B35" s="18"/>
      <c r="C35" s="18"/>
      <c r="D35" s="16" t="s">
        <v>1507</v>
      </c>
      <c r="E35" s="119"/>
    </row>
    <row r="36">
      <c r="A36" s="51" t="s">
        <v>255</v>
      </c>
      <c r="B36" s="133"/>
      <c r="C36" s="133"/>
      <c r="D36" s="133"/>
      <c r="E36" s="119"/>
    </row>
    <row r="37">
      <c r="A37" s="13" t="s">
        <v>259</v>
      </c>
      <c r="B37" s="18"/>
      <c r="C37" s="18"/>
      <c r="D37" s="16" t="s">
        <v>1507</v>
      </c>
      <c r="E37" s="119"/>
    </row>
    <row r="38">
      <c r="A38" s="13" t="s">
        <v>264</v>
      </c>
      <c r="B38" s="18"/>
      <c r="C38" s="18"/>
      <c r="D38" s="16" t="s">
        <v>1507</v>
      </c>
      <c r="E38" s="119"/>
    </row>
    <row r="39">
      <c r="A39" s="13" t="s">
        <v>269</v>
      </c>
      <c r="B39" s="18"/>
      <c r="C39" s="18"/>
      <c r="D39" s="16" t="s">
        <v>1507</v>
      </c>
      <c r="E39" s="119"/>
    </row>
    <row r="40">
      <c r="A40" s="13" t="s">
        <v>272</v>
      </c>
      <c r="B40" s="18"/>
      <c r="C40" s="18"/>
      <c r="D40" s="16" t="s">
        <v>1507</v>
      </c>
      <c r="E40" s="119"/>
    </row>
    <row r="41">
      <c r="A41" s="13" t="s">
        <v>277</v>
      </c>
      <c r="B41" s="18"/>
      <c r="C41" s="18"/>
      <c r="D41" s="16" t="s">
        <v>1507</v>
      </c>
      <c r="E41" s="119"/>
    </row>
    <row r="42">
      <c r="A42" s="13" t="s">
        <v>282</v>
      </c>
      <c r="B42" s="18"/>
      <c r="C42" s="18"/>
      <c r="D42" s="16" t="s">
        <v>1507</v>
      </c>
      <c r="E42" s="119"/>
    </row>
    <row r="43">
      <c r="A43" s="13" t="s">
        <v>284</v>
      </c>
      <c r="B43" s="18"/>
      <c r="C43" s="18"/>
      <c r="D43" s="16" t="s">
        <v>1507</v>
      </c>
      <c r="E43" s="119"/>
    </row>
    <row r="44">
      <c r="A44" s="13" t="s">
        <v>288</v>
      </c>
      <c r="B44" s="18"/>
      <c r="C44" s="18"/>
      <c r="D44" s="16" t="s">
        <v>1507</v>
      </c>
      <c r="E44" s="119"/>
    </row>
    <row r="45">
      <c r="A45" s="13" t="s">
        <v>294</v>
      </c>
      <c r="B45" s="18"/>
      <c r="C45" s="18"/>
      <c r="D45" s="16" t="s">
        <v>1507</v>
      </c>
      <c r="E45" s="119"/>
    </row>
    <row r="46">
      <c r="A46" s="13" t="s">
        <v>298</v>
      </c>
      <c r="B46" s="18"/>
      <c r="C46" s="18"/>
      <c r="D46" s="16" t="s">
        <v>1507</v>
      </c>
      <c r="E46" s="119"/>
    </row>
    <row r="47">
      <c r="A47" s="13" t="s">
        <v>304</v>
      </c>
      <c r="B47" s="18"/>
      <c r="C47" s="18"/>
      <c r="D47" s="16" t="s">
        <v>1507</v>
      </c>
      <c r="E47" s="119"/>
    </row>
    <row r="48">
      <c r="A48" s="13" t="s">
        <v>312</v>
      </c>
      <c r="B48" s="18"/>
      <c r="C48" s="18"/>
      <c r="D48" s="16" t="s">
        <v>1507</v>
      </c>
      <c r="E48" s="119"/>
    </row>
    <row r="49">
      <c r="A49" s="13" t="s">
        <v>317</v>
      </c>
      <c r="B49" s="18"/>
      <c r="C49" s="18"/>
      <c r="D49" s="16" t="s">
        <v>1507</v>
      </c>
      <c r="E49" s="119"/>
    </row>
    <row r="50">
      <c r="A50" s="13" t="s">
        <v>320</v>
      </c>
      <c r="B50" s="18"/>
      <c r="C50" s="18"/>
      <c r="D50" s="16" t="s">
        <v>1507</v>
      </c>
      <c r="E50" s="119"/>
    </row>
    <row r="51">
      <c r="A51" s="13" t="s">
        <v>325</v>
      </c>
      <c r="B51" s="18"/>
      <c r="C51" s="18"/>
      <c r="D51" s="16" t="s">
        <v>1507</v>
      </c>
      <c r="E51" s="119"/>
    </row>
    <row r="52">
      <c r="A52" s="51" t="s">
        <v>331</v>
      </c>
      <c r="B52" s="133"/>
      <c r="C52" s="133"/>
      <c r="D52" s="133"/>
      <c r="E52" s="119"/>
    </row>
    <row r="53">
      <c r="A53" s="13" t="s">
        <v>334</v>
      </c>
      <c r="B53" s="18"/>
      <c r="C53" s="18"/>
      <c r="D53" s="16" t="s">
        <v>1507</v>
      </c>
      <c r="E53" s="119"/>
    </row>
    <row r="54">
      <c r="A54" s="13" t="s">
        <v>341</v>
      </c>
      <c r="B54" s="18"/>
      <c r="C54" s="18"/>
      <c r="D54" s="16" t="s">
        <v>1507</v>
      </c>
      <c r="E54" s="119"/>
    </row>
    <row r="55">
      <c r="A55" s="51" t="s">
        <v>347</v>
      </c>
      <c r="B55" s="133"/>
      <c r="C55" s="133"/>
      <c r="D55" s="133"/>
      <c r="E55" s="119"/>
    </row>
    <row r="56">
      <c r="A56" s="13" t="s">
        <v>351</v>
      </c>
      <c r="B56" s="18"/>
      <c r="C56" s="18"/>
      <c r="D56" s="16" t="s">
        <v>1507</v>
      </c>
      <c r="E56" s="119"/>
    </row>
    <row r="57">
      <c r="A57" s="51" t="s">
        <v>357</v>
      </c>
      <c r="B57" s="133"/>
      <c r="C57" s="133"/>
      <c r="D57" s="133"/>
      <c r="E57" s="119"/>
    </row>
    <row r="58">
      <c r="A58" s="13" t="s">
        <v>360</v>
      </c>
      <c r="B58" s="18"/>
      <c r="C58" s="18"/>
      <c r="D58" s="16" t="s">
        <v>1507</v>
      </c>
      <c r="E58" s="119"/>
    </row>
    <row r="59">
      <c r="A59" s="51" t="s">
        <v>91</v>
      </c>
      <c r="B59" s="133"/>
      <c r="C59" s="133"/>
      <c r="D59" s="133"/>
      <c r="E59" s="119"/>
    </row>
    <row r="60">
      <c r="A60" s="13" t="s">
        <v>369</v>
      </c>
      <c r="B60" s="18"/>
      <c r="C60" s="18"/>
      <c r="D60" s="16" t="s">
        <v>1507</v>
      </c>
      <c r="E60" s="119"/>
    </row>
    <row r="61">
      <c r="A61" s="51" t="s">
        <v>373</v>
      </c>
      <c r="B61" s="133"/>
      <c r="C61" s="133"/>
      <c r="D61" s="133"/>
      <c r="E61" s="119"/>
    </row>
    <row r="62">
      <c r="A62" s="13" t="s">
        <v>377</v>
      </c>
      <c r="B62" s="18"/>
      <c r="C62" s="18"/>
      <c r="D62" s="16" t="s">
        <v>1507</v>
      </c>
      <c r="E62" s="119"/>
    </row>
    <row r="63">
      <c r="A63" s="51" t="s">
        <v>382</v>
      </c>
      <c r="B63" s="133"/>
      <c r="C63" s="133"/>
      <c r="D63" s="133"/>
      <c r="E63" s="119"/>
    </row>
    <row r="64">
      <c r="A64" s="13" t="s">
        <v>387</v>
      </c>
      <c r="B64" s="18"/>
      <c r="C64" s="18"/>
      <c r="D64" s="16" t="s">
        <v>1507</v>
      </c>
      <c r="E64" s="119"/>
    </row>
    <row r="65">
      <c r="A65" s="13" t="s">
        <v>395</v>
      </c>
      <c r="B65" s="18"/>
      <c r="C65" s="18"/>
      <c r="D65" s="16" t="s">
        <v>1507</v>
      </c>
      <c r="E65" s="119"/>
    </row>
    <row r="66">
      <c r="A66" s="51" t="s">
        <v>402</v>
      </c>
      <c r="B66" s="133"/>
      <c r="C66" s="133"/>
      <c r="D66" s="133"/>
      <c r="E66" s="119"/>
    </row>
    <row r="67">
      <c r="A67" s="13" t="s">
        <v>407</v>
      </c>
      <c r="B67" s="18"/>
      <c r="C67" s="18"/>
      <c r="D67" s="16" t="s">
        <v>1507</v>
      </c>
      <c r="E67" s="119"/>
    </row>
    <row r="68">
      <c r="A68" s="13" t="s">
        <v>413</v>
      </c>
      <c r="B68" s="18"/>
      <c r="C68" s="18"/>
      <c r="D68" s="16" t="s">
        <v>1507</v>
      </c>
      <c r="E68" s="119"/>
    </row>
    <row r="69">
      <c r="A69" s="51" t="s">
        <v>420</v>
      </c>
      <c r="B69" s="133"/>
      <c r="C69" s="133"/>
      <c r="D69" s="133"/>
      <c r="E69" s="119"/>
    </row>
    <row r="70">
      <c r="A70" s="13" t="s">
        <v>424</v>
      </c>
      <c r="B70" s="18"/>
      <c r="C70" s="18"/>
      <c r="D70" s="16" t="s">
        <v>1507</v>
      </c>
      <c r="E70" s="119"/>
    </row>
    <row r="71">
      <c r="A71" s="21" t="s">
        <v>432</v>
      </c>
      <c r="B71" s="39"/>
      <c r="C71" s="39"/>
      <c r="D71" s="39"/>
      <c r="E71" s="119"/>
    </row>
    <row r="72">
      <c r="A72" s="45" t="s">
        <v>438</v>
      </c>
      <c r="B72" s="16" t="s">
        <v>1508</v>
      </c>
      <c r="C72" s="18"/>
      <c r="D72" s="16" t="s">
        <v>1509</v>
      </c>
      <c r="E72" s="119"/>
    </row>
    <row r="73">
      <c r="A73" s="45"/>
      <c r="B73" s="16"/>
      <c r="C73" s="18"/>
      <c r="D73" s="16" t="s">
        <v>1510</v>
      </c>
      <c r="E73" s="119"/>
    </row>
    <row r="74">
      <c r="A74" s="45" t="s">
        <v>446</v>
      </c>
      <c r="B74" s="16" t="s">
        <v>1508</v>
      </c>
      <c r="C74" s="18"/>
      <c r="D74" s="16" t="s">
        <v>1509</v>
      </c>
      <c r="E74" s="119"/>
    </row>
    <row r="75">
      <c r="A75" s="134"/>
      <c r="B75" s="135"/>
      <c r="C75" s="135"/>
      <c r="D75" s="134" t="s">
        <v>1510</v>
      </c>
      <c r="E75" s="119"/>
    </row>
    <row r="76">
      <c r="A76" s="21" t="s">
        <v>453</v>
      </c>
      <c r="B76" s="39"/>
      <c r="C76" s="39"/>
      <c r="D76" s="21" t="s">
        <v>1511</v>
      </c>
      <c r="E76" s="119"/>
    </row>
  </sheetData>
  <mergeCells count="7">
    <mergeCell ref="B1:D1"/>
    <mergeCell ref="J2:K2"/>
    <mergeCell ref="J3:K3"/>
    <mergeCell ref="J4:K4"/>
    <mergeCell ref="A11:A12"/>
    <mergeCell ref="A26:A27"/>
    <mergeCell ref="B26:B27"/>
  </mergeCells>
  <drawing r:id="rId1"/>
</worksheet>
</file>